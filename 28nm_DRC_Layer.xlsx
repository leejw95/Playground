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Junung\Documents\카카오톡 받은 파일\"/>
    </mc:Choice>
  </mc:AlternateContent>
  <xr:revisionPtr revIDLastSave="0" documentId="13_ncr:1_{2D172E4F-C5BA-424F-896E-5EE36FD45D2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2" i="2" l="1"/>
  <c r="U20" i="1"/>
</calcChain>
</file>

<file path=xl/sharedStrings.xml><?xml version="1.0" encoding="utf-8"?>
<sst xmlns="http://schemas.openxmlformats.org/spreadsheetml/2006/main" count="564" uniqueCount="461">
  <si>
    <t>65nm</t>
    <phoneticPr fontId="1" type="noConversion"/>
  </si>
  <si>
    <t>28nm</t>
    <phoneticPr fontId="1" type="noConversion"/>
  </si>
  <si>
    <t>Generator</t>
    <phoneticPr fontId="1" type="noConversion"/>
  </si>
  <si>
    <t>PIMP</t>
    <phoneticPr fontId="1" type="noConversion"/>
  </si>
  <si>
    <t>PP</t>
    <phoneticPr fontId="1" type="noConversion"/>
  </si>
  <si>
    <t>BP</t>
    <phoneticPr fontId="1" type="noConversion"/>
  </si>
  <si>
    <t>PDK</t>
    <phoneticPr fontId="1" type="noConversion"/>
  </si>
  <si>
    <t>NIMP</t>
    <phoneticPr fontId="1" type="noConversion"/>
  </si>
  <si>
    <t>NP</t>
    <phoneticPr fontId="1" type="noConversion"/>
  </si>
  <si>
    <t>DIFF</t>
    <phoneticPr fontId="1" type="noConversion"/>
  </si>
  <si>
    <t>OD</t>
    <phoneticPr fontId="1" type="noConversion"/>
  </si>
  <si>
    <t>RX</t>
    <phoneticPr fontId="1" type="noConversion"/>
  </si>
  <si>
    <t>CONT</t>
    <phoneticPr fontId="1" type="noConversion"/>
  </si>
  <si>
    <t>CO</t>
    <phoneticPr fontId="1" type="noConversion"/>
  </si>
  <si>
    <t>CA</t>
    <phoneticPr fontId="1" type="noConversion"/>
  </si>
  <si>
    <t>METAL1</t>
    <phoneticPr fontId="1" type="noConversion"/>
  </si>
  <si>
    <t>M1</t>
    <phoneticPr fontId="1" type="noConversion"/>
  </si>
  <si>
    <t>METAL1PIN</t>
    <phoneticPr fontId="1" type="noConversion"/>
  </si>
  <si>
    <t>pin</t>
    <phoneticPr fontId="1" type="noConversion"/>
  </si>
  <si>
    <t>label</t>
    <phoneticPr fontId="1" type="noConversion"/>
  </si>
  <si>
    <t>VIA1</t>
    <phoneticPr fontId="1" type="noConversion"/>
  </si>
  <si>
    <t>V1</t>
    <phoneticPr fontId="1" type="noConversion"/>
  </si>
  <si>
    <t>VIA12</t>
    <phoneticPr fontId="1" type="noConversion"/>
  </si>
  <si>
    <t>VIA23</t>
    <phoneticPr fontId="1" type="noConversion"/>
  </si>
  <si>
    <t>VIA2</t>
    <phoneticPr fontId="1" type="noConversion"/>
  </si>
  <si>
    <t>V2</t>
    <phoneticPr fontId="1" type="noConversion"/>
  </si>
  <si>
    <t>VIA34</t>
    <phoneticPr fontId="1" type="noConversion"/>
  </si>
  <si>
    <t>VIA3</t>
    <phoneticPr fontId="1" type="noConversion"/>
  </si>
  <si>
    <t>V3</t>
    <phoneticPr fontId="1" type="noConversion"/>
  </si>
  <si>
    <t>VIA45</t>
    <phoneticPr fontId="1" type="noConversion"/>
  </si>
  <si>
    <t>VIA4</t>
    <phoneticPr fontId="1" type="noConversion"/>
  </si>
  <si>
    <t>V4</t>
    <phoneticPr fontId="1" type="noConversion"/>
  </si>
  <si>
    <t>VIA56</t>
    <phoneticPr fontId="1" type="noConversion"/>
  </si>
  <si>
    <t>VIA5</t>
    <phoneticPr fontId="1" type="noConversion"/>
  </si>
  <si>
    <t>V5</t>
    <phoneticPr fontId="1" type="noConversion"/>
  </si>
  <si>
    <t>VIA67</t>
    <phoneticPr fontId="1" type="noConversion"/>
  </si>
  <si>
    <t>VIA6</t>
    <phoneticPr fontId="1" type="noConversion"/>
  </si>
  <si>
    <t>V6</t>
    <phoneticPr fontId="1" type="noConversion"/>
  </si>
  <si>
    <t>VIA78</t>
    <phoneticPr fontId="1" type="noConversion"/>
  </si>
  <si>
    <t>VIA7</t>
    <phoneticPr fontId="1" type="noConversion"/>
  </si>
  <si>
    <t>VIA89</t>
    <phoneticPr fontId="1" type="noConversion"/>
  </si>
  <si>
    <t>VIA8</t>
    <phoneticPr fontId="1" type="noConversion"/>
  </si>
  <si>
    <t>YX</t>
    <phoneticPr fontId="1" type="noConversion"/>
  </si>
  <si>
    <t>XA</t>
    <phoneticPr fontId="1" type="noConversion"/>
  </si>
  <si>
    <t>METAL2</t>
    <phoneticPr fontId="1" type="noConversion"/>
  </si>
  <si>
    <t>M2</t>
    <phoneticPr fontId="1" type="noConversion"/>
  </si>
  <si>
    <t>METAL2PIN</t>
    <phoneticPr fontId="1" type="noConversion"/>
  </si>
  <si>
    <t>METAL3</t>
    <phoneticPr fontId="1" type="noConversion"/>
  </si>
  <si>
    <t>M3</t>
    <phoneticPr fontId="1" type="noConversion"/>
  </si>
  <si>
    <t>METAL3PIN</t>
    <phoneticPr fontId="1" type="noConversion"/>
  </si>
  <si>
    <t>M4</t>
    <phoneticPr fontId="1" type="noConversion"/>
  </si>
  <si>
    <t>METAL4</t>
    <phoneticPr fontId="1" type="noConversion"/>
  </si>
  <si>
    <t>METAL4PIN</t>
    <phoneticPr fontId="1" type="noConversion"/>
  </si>
  <si>
    <t>METAL5</t>
    <phoneticPr fontId="1" type="noConversion"/>
  </si>
  <si>
    <t>M5</t>
    <phoneticPr fontId="1" type="noConversion"/>
  </si>
  <si>
    <t>METAL5PIN</t>
    <phoneticPr fontId="1" type="noConversion"/>
  </si>
  <si>
    <t>METAL6</t>
    <phoneticPr fontId="1" type="noConversion"/>
  </si>
  <si>
    <t>M6</t>
    <phoneticPr fontId="1" type="noConversion"/>
  </si>
  <si>
    <t>METAL6PIN</t>
    <phoneticPr fontId="1" type="noConversion"/>
  </si>
  <si>
    <t>METAL7</t>
    <phoneticPr fontId="1" type="noConversion"/>
  </si>
  <si>
    <t>M7</t>
    <phoneticPr fontId="1" type="noConversion"/>
  </si>
  <si>
    <t>METAL7PIN</t>
    <phoneticPr fontId="1" type="noConversion"/>
  </si>
  <si>
    <t>METAL8</t>
    <phoneticPr fontId="1" type="noConversion"/>
  </si>
  <si>
    <t>M8</t>
    <phoneticPr fontId="1" type="noConversion"/>
  </si>
  <si>
    <t>IA</t>
    <phoneticPr fontId="1" type="noConversion"/>
  </si>
  <si>
    <t>METAL8PIN</t>
    <phoneticPr fontId="1" type="noConversion"/>
  </si>
  <si>
    <t>METAL9</t>
    <phoneticPr fontId="1" type="noConversion"/>
  </si>
  <si>
    <t>M9</t>
    <phoneticPr fontId="1" type="noConversion"/>
  </si>
  <si>
    <t>IB</t>
    <phoneticPr fontId="1" type="noConversion"/>
  </si>
  <si>
    <t>METAL9PIN</t>
    <phoneticPr fontId="1" type="noConversion"/>
  </si>
  <si>
    <t>WELLBODY</t>
    <phoneticPr fontId="1" type="noConversion"/>
  </si>
  <si>
    <t>-</t>
    <phoneticPr fontId="1" type="noConversion"/>
  </si>
  <si>
    <t>POLY</t>
    <phoneticPr fontId="1" type="noConversion"/>
  </si>
  <si>
    <t>PO</t>
    <phoneticPr fontId="1" type="noConversion"/>
  </si>
  <si>
    <t>PC</t>
    <phoneticPr fontId="1" type="noConversion"/>
  </si>
  <si>
    <t>NWELL</t>
    <phoneticPr fontId="1" type="noConversion"/>
  </si>
  <si>
    <t>NW</t>
    <phoneticPr fontId="1" type="noConversion"/>
  </si>
  <si>
    <t>N3V</t>
    <phoneticPr fontId="1" type="noConversion"/>
  </si>
  <si>
    <t>RPDMY</t>
    <phoneticPr fontId="1" type="noConversion"/>
  </si>
  <si>
    <t>RP0</t>
    <phoneticPr fontId="1" type="noConversion"/>
  </si>
  <si>
    <t>RH</t>
    <phoneticPr fontId="1" type="noConversion"/>
  </si>
  <si>
    <t>NLVT</t>
    <phoneticPr fontId="1" type="noConversion"/>
  </si>
  <si>
    <t>VTL_N</t>
    <phoneticPr fontId="1" type="noConversion"/>
  </si>
  <si>
    <t>PLVT</t>
    <phoneticPr fontId="1" type="noConversion"/>
  </si>
  <si>
    <t>VTL_P</t>
    <phoneticPr fontId="1" type="noConversion"/>
  </si>
  <si>
    <t>P+ Source/Drain Ion Implantation (PP)</t>
    <phoneticPr fontId="1" type="noConversion"/>
  </si>
  <si>
    <t>GR350a</t>
    <phoneticPr fontId="1" type="noConversion"/>
  </si>
  <si>
    <t>BP minimum width for run length &gt;=0.17</t>
    <phoneticPr fontId="1" type="noConversion"/>
  </si>
  <si>
    <t>BP minumum area (um2) &gt;=0.08</t>
    <phoneticPr fontId="1" type="noConversion"/>
  </si>
  <si>
    <t>GR352</t>
    <phoneticPr fontId="1" type="noConversion"/>
  </si>
  <si>
    <t>BP minimum space &gt;=0.17</t>
    <phoneticPr fontId="1" type="noConversion"/>
  </si>
  <si>
    <t>GR355</t>
    <phoneticPr fontId="1" type="noConversion"/>
  </si>
  <si>
    <t>RX n+ junction minumum space to BP &gt;=0.056</t>
    <phoneticPr fontId="1" type="noConversion"/>
  </si>
  <si>
    <t>PpMinWidth</t>
    <phoneticPr fontId="1" type="noConversion"/>
  </si>
  <si>
    <t>PpMinSpace</t>
    <phoneticPr fontId="1" type="noConversion"/>
  </si>
  <si>
    <t>PpMinExtensiononPactive</t>
    <phoneticPr fontId="1" type="noConversion"/>
  </si>
  <si>
    <t>GR52d</t>
    <phoneticPr fontId="1" type="noConversion"/>
  </si>
  <si>
    <t>RX minumum space to RX &gt;=0.07</t>
    <phoneticPr fontId="1" type="noConversion"/>
  </si>
  <si>
    <t>OdMinSpace</t>
    <phoneticPr fontId="1" type="noConversion"/>
  </si>
  <si>
    <t>OdMinWidth</t>
    <phoneticPr fontId="1" type="noConversion"/>
  </si>
  <si>
    <t>GR50</t>
    <phoneticPr fontId="1" type="noConversion"/>
  </si>
  <si>
    <t>RX minumum span &gt;= 0.1</t>
    <phoneticPr fontId="1" type="noConversion"/>
  </si>
  <si>
    <t>PolygateMinWidth</t>
    <phoneticPr fontId="1" type="noConversion"/>
  </si>
  <si>
    <t>PolygateMinSpace</t>
    <phoneticPr fontId="1" type="noConversion"/>
  </si>
  <si>
    <t>PolygateMinSpace2</t>
    <phoneticPr fontId="1" type="noConversion"/>
  </si>
  <si>
    <t>PolygateMinSpace2Co</t>
    <phoneticPr fontId="1" type="noConversion"/>
  </si>
  <si>
    <t>PolygateMinSpace2OD</t>
    <phoneticPr fontId="1" type="noConversion"/>
  </si>
  <si>
    <t>GR100</t>
    <phoneticPr fontId="1" type="noConversion"/>
  </si>
  <si>
    <t>PC minumum width &lt;=0.03</t>
    <phoneticPr fontId="1" type="noConversion"/>
  </si>
  <si>
    <t>GR102</t>
    <phoneticPr fontId="1" type="noConversion"/>
  </si>
  <si>
    <t>PC minumum space and notch &gt;=0.096</t>
    <phoneticPr fontId="1" type="noConversion"/>
  </si>
  <si>
    <t>GR207</t>
    <phoneticPr fontId="1" type="noConversion"/>
  </si>
  <si>
    <t>(CA over RX) minumum space to PC &gt;= 0.028</t>
    <phoneticPr fontId="1" type="noConversion"/>
  </si>
  <si>
    <t>GR111</t>
    <phoneticPr fontId="1" type="noConversion"/>
  </si>
  <si>
    <t>PC minimum overlap past RX &gt;=0.037</t>
    <phoneticPr fontId="1" type="noConversion"/>
  </si>
  <si>
    <t>PolygateMinSpace2PolygateInSameRPO</t>
    <phoneticPr fontId="1" type="noConversion"/>
  </si>
  <si>
    <t>CoMinWidth</t>
    <phoneticPr fontId="1" type="noConversion"/>
  </si>
  <si>
    <t>CoMinSpace</t>
    <phoneticPr fontId="1" type="noConversion"/>
  </si>
  <si>
    <t>CoMinSpace2</t>
    <phoneticPr fontId="1" type="noConversion"/>
  </si>
  <si>
    <t>CoMinSpaceDifferentNet</t>
    <phoneticPr fontId="1" type="noConversion"/>
  </si>
  <si>
    <t>CoMinSpaceFor3neighboring</t>
    <phoneticPr fontId="1" type="noConversion"/>
  </si>
  <si>
    <t>CoMinEnclosureByOD</t>
    <phoneticPr fontId="1" type="noConversion"/>
  </si>
  <si>
    <t>CoMinEnclosureByODAtLeastTwoSide</t>
    <phoneticPr fontId="1" type="noConversion"/>
  </si>
  <si>
    <t>CoMinEnclosureByPO</t>
    <phoneticPr fontId="1" type="noConversion"/>
  </si>
  <si>
    <t>CoMinEnclosureByPOAtLeastTwoSide</t>
    <phoneticPr fontId="1" type="noConversion"/>
  </si>
  <si>
    <t>&gt;=0.04</t>
    <phoneticPr fontId="1" type="noConversion"/>
  </si>
  <si>
    <t>CA203</t>
    <phoneticPr fontId="1" type="noConversion"/>
  </si>
  <si>
    <t>CA minumum center to center distance &gt;= 0.1</t>
    <phoneticPr fontId="1" type="noConversion"/>
  </si>
  <si>
    <t>GR203</t>
    <phoneticPr fontId="1" type="noConversion"/>
  </si>
  <si>
    <t>For any two Cas with a center-to-center distance to a third CA of &lt; 0.132um</t>
    <phoneticPr fontId="1" type="noConversion"/>
  </si>
  <si>
    <t>GR204</t>
    <phoneticPr fontId="1" type="noConversion"/>
  </si>
  <si>
    <t>At least 1 CA per RX diffusion and M1 intersection containing a CA</t>
    <phoneticPr fontId="1" type="noConversion"/>
  </si>
  <si>
    <t>GR204a</t>
    <phoneticPr fontId="1" type="noConversion"/>
  </si>
  <si>
    <t>&gt;= 0.014 all sides within RX diffusion</t>
    <phoneticPr fontId="1" type="noConversion"/>
  </si>
  <si>
    <t>GR204b</t>
    <phoneticPr fontId="1" type="noConversion"/>
  </si>
  <si>
    <t>&gt;=0.02 for two opp sides overlap if other sides &gt;=0.008 within RX diffusion</t>
    <phoneticPr fontId="1" type="noConversion"/>
  </si>
  <si>
    <t>GR209</t>
    <phoneticPr fontId="1" type="noConversion"/>
  </si>
  <si>
    <t>&gt;=0.03 for two opp sides of CA</t>
    <phoneticPr fontId="1" type="noConversion"/>
  </si>
  <si>
    <t>Metal1MinWidth</t>
    <phoneticPr fontId="1" type="noConversion"/>
  </si>
  <si>
    <t>Metal1MinSpace</t>
    <phoneticPr fontId="1" type="noConversion"/>
  </si>
  <si>
    <t>Metal1MinSpace2</t>
    <phoneticPr fontId="1" type="noConversion"/>
  </si>
  <si>
    <t>Metal1MinSpace21</t>
    <phoneticPr fontId="1" type="noConversion"/>
  </si>
  <si>
    <t>Metal1MinSpace22</t>
    <phoneticPr fontId="1" type="noConversion"/>
  </si>
  <si>
    <t>Metal1MinSpace3</t>
    <phoneticPr fontId="1" type="noConversion"/>
  </si>
  <si>
    <t>Metal1MinSpaceAtCorner</t>
    <phoneticPr fontId="1" type="noConversion"/>
  </si>
  <si>
    <t>Metal1MinEnclosureCO2</t>
    <phoneticPr fontId="1" type="noConversion"/>
  </si>
  <si>
    <t>Metal1MinEnclosureCO</t>
    <phoneticPr fontId="1" type="noConversion"/>
  </si>
  <si>
    <t>Metal1MinEnclosureVia1</t>
    <phoneticPr fontId="1" type="noConversion"/>
  </si>
  <si>
    <t>Metal1MinEnclosureVia12</t>
    <phoneticPr fontId="1" type="noConversion"/>
  </si>
  <si>
    <t>Metal1MinArea</t>
    <phoneticPr fontId="1" type="noConversion"/>
  </si>
  <si>
    <t>GR500</t>
    <phoneticPr fontId="1" type="noConversion"/>
  </si>
  <si>
    <t>M1 minimum width &gt;=0.05</t>
    <phoneticPr fontId="1" type="noConversion"/>
  </si>
  <si>
    <t>GR501</t>
    <phoneticPr fontId="1" type="noConversion"/>
  </si>
  <si>
    <t>M1 minimum area &gt;= 0.01</t>
    <phoneticPr fontId="1" type="noConversion"/>
  </si>
  <si>
    <t>GR502</t>
    <phoneticPr fontId="1" type="noConversion"/>
  </si>
  <si>
    <t>M1 minimum space and notch &gt;=0.05</t>
    <phoneticPr fontId="1" type="noConversion"/>
  </si>
  <si>
    <t>GR504k2</t>
    <phoneticPr fontId="1" type="noConversion"/>
  </si>
  <si>
    <t>GR504a2</t>
    <phoneticPr fontId="1" type="noConversion"/>
  </si>
  <si>
    <t>GR504b1</t>
    <phoneticPr fontId="1" type="noConversion"/>
  </si>
  <si>
    <t>GR504b4</t>
    <phoneticPr fontId="1" type="noConversion"/>
  </si>
  <si>
    <t>GR504b3</t>
    <phoneticPr fontId="1" type="noConversion"/>
  </si>
  <si>
    <t>(M1 with width &gt; 0.208) minimum space to (M1 with width &gt; 0.156), for run length &gt;=0.111</t>
    <phoneticPr fontId="1" type="noConversion"/>
  </si>
  <si>
    <t>(M1 with width &gt; 0.208) minimum space for run length &gt;=0.14</t>
    <phoneticPr fontId="1" type="noConversion"/>
  </si>
  <si>
    <t>GR504b2</t>
    <phoneticPr fontId="1" type="noConversion"/>
  </si>
  <si>
    <t>M1 minimum space to (M1 with width &gt;0.208), for run length &gt;=0.095</t>
    <phoneticPr fontId="1" type="noConversion"/>
  </si>
  <si>
    <t>GR504a1</t>
    <phoneticPr fontId="1" type="noConversion"/>
  </si>
  <si>
    <t>(M1 with width &gt; 0.208) minimum space to (M1 with width &gt; 0.072), for run length &gt;=0.103</t>
    <phoneticPr fontId="1" type="noConversion"/>
  </si>
  <si>
    <t>GR504k1</t>
    <phoneticPr fontId="1" type="noConversion"/>
  </si>
  <si>
    <t>GR502a</t>
    <phoneticPr fontId="1" type="noConversion"/>
  </si>
  <si>
    <t>&gt;=0.06</t>
    <phoneticPr fontId="1" type="noConversion"/>
  </si>
  <si>
    <t>&gt;=0.021 for two opp sides overlap if other sides &gt;=0.005 within M1</t>
    <phoneticPr fontId="1" type="noConversion"/>
  </si>
  <si>
    <t>GR507c</t>
    <phoneticPr fontId="1" type="noConversion"/>
  </si>
  <si>
    <t>&gt;=0.005</t>
    <phoneticPr fontId="1" type="noConversion"/>
  </si>
  <si>
    <t>GR507b</t>
    <phoneticPr fontId="1" type="noConversion"/>
  </si>
  <si>
    <t>GR507a</t>
    <phoneticPr fontId="1" type="noConversion"/>
  </si>
  <si>
    <t>&gt;=0.012 all sides within M1</t>
    <phoneticPr fontId="1" type="noConversion"/>
  </si>
  <si>
    <t>&gt;=0.016 for two opp sides overlap if other sides &gt;=0.009 within M1</t>
    <phoneticPr fontId="1" type="noConversion"/>
  </si>
  <si>
    <t>GR611e_V1</t>
    <phoneticPr fontId="1" type="noConversion"/>
  </si>
  <si>
    <t>&gt;=0.017 for two opp sides overlap if other sides &gt;=0 within M2</t>
    <phoneticPr fontId="1" type="noConversion"/>
  </si>
  <si>
    <t>Page</t>
    <phoneticPr fontId="1" type="noConversion"/>
  </si>
  <si>
    <t>NwMinWidth</t>
    <phoneticPr fontId="1" type="noConversion"/>
  </si>
  <si>
    <t>NwMinSpace</t>
    <phoneticPr fontId="1" type="noConversion"/>
  </si>
  <si>
    <t>NwMinEnclosurePactive</t>
    <phoneticPr fontId="1" type="noConversion"/>
  </si>
  <si>
    <t>NwMinSpacetoNactive</t>
    <phoneticPr fontId="1" type="noConversion"/>
  </si>
  <si>
    <t>NW minimum width &gt;= 0.26</t>
    <phoneticPr fontId="1" type="noConversion"/>
  </si>
  <si>
    <t>GR252a</t>
    <phoneticPr fontId="1" type="noConversion"/>
  </si>
  <si>
    <t>NW minimum space &gt;=0.26</t>
    <phoneticPr fontId="1" type="noConversion"/>
  </si>
  <si>
    <t>GR252b</t>
    <phoneticPr fontId="1" type="noConversion"/>
  </si>
  <si>
    <t>NW minimum space &gt;=0.35, (Different net)</t>
    <phoneticPr fontId="1" type="noConversion"/>
  </si>
  <si>
    <t>GR265</t>
    <phoneticPr fontId="1" type="noConversion"/>
  </si>
  <si>
    <t>NW minimum space to [N+ Junction not over (LDNSEC, LDPSEC)] &gt;= 0.056</t>
    <phoneticPr fontId="1" type="noConversion"/>
  </si>
  <si>
    <t>GR260</t>
    <phoneticPr fontId="1" type="noConversion"/>
  </si>
  <si>
    <t>[p+ Junction not over (LDNSEC, LDPSEC)] within NW &gt;=0.056</t>
    <phoneticPr fontId="1" type="noConversion"/>
  </si>
  <si>
    <t>VIAx</t>
    <phoneticPr fontId="1" type="noConversion"/>
  </si>
  <si>
    <t>VIAxMinWidth</t>
    <phoneticPr fontId="1" type="noConversion"/>
  </si>
  <si>
    <t>VIAxMinSpace</t>
    <phoneticPr fontId="1" type="noConversion"/>
  </si>
  <si>
    <t>VIAxMinSpace2</t>
    <phoneticPr fontId="1" type="noConversion"/>
  </si>
  <si>
    <t>VIAxMinSpaceDifferentNet</t>
    <phoneticPr fontId="1" type="noConversion"/>
  </si>
  <si>
    <t>VIAxMinSpaceFor3neighboing</t>
    <phoneticPr fontId="1" type="noConversion"/>
  </si>
  <si>
    <t>VIAxMinEnclosureByMetx</t>
    <phoneticPr fontId="1" type="noConversion"/>
  </si>
  <si>
    <t>VIAxMinEnclosureByMetxTwoOppositeSide</t>
    <phoneticPr fontId="1" type="noConversion"/>
  </si>
  <si>
    <t>GR550d</t>
    <phoneticPr fontId="1" type="noConversion"/>
  </si>
  <si>
    <t>VIBAR exact width == 0.05</t>
    <phoneticPr fontId="1" type="noConversion"/>
  </si>
  <si>
    <t>GR553q1_V1</t>
    <phoneticPr fontId="1" type="noConversion"/>
  </si>
  <si>
    <t>V1 minimum center-to-center distance &gt;= 0.13</t>
    <phoneticPr fontId="1" type="noConversion"/>
  </si>
  <si>
    <t>distance == 0.08</t>
    <phoneticPr fontId="1" type="noConversion"/>
  </si>
  <si>
    <t>GR553q2_V1</t>
    <phoneticPr fontId="1" type="noConversion"/>
  </si>
  <si>
    <t>V1 minimum center-to-center space &gt; 0.141 um</t>
    <phoneticPr fontId="1" type="noConversion"/>
  </si>
  <si>
    <t>distance == 0.092</t>
    <phoneticPr fontId="1" type="noConversion"/>
  </si>
  <si>
    <t>GR572c1</t>
    <phoneticPr fontId="1" type="noConversion"/>
  </si>
  <si>
    <t>&gt;=0.017 for two opp sides overlap if other sides &gt;= 0 within M1</t>
    <phoneticPr fontId="1" type="noConversion"/>
  </si>
  <si>
    <t>VIAy</t>
    <phoneticPr fontId="1" type="noConversion"/>
  </si>
  <si>
    <t>VIAyMinWidth</t>
    <phoneticPr fontId="1" type="noConversion"/>
  </si>
  <si>
    <t>VIAyMinSpace</t>
    <phoneticPr fontId="1" type="noConversion"/>
  </si>
  <si>
    <t>VIAyMinSpace2</t>
    <phoneticPr fontId="1" type="noConversion"/>
  </si>
  <si>
    <t>VIAyMinSpaceDifferentNet</t>
    <phoneticPr fontId="1" type="noConversion"/>
  </si>
  <si>
    <t>VIAyMinSpaceFor3neighboing</t>
    <phoneticPr fontId="1" type="noConversion"/>
  </si>
  <si>
    <t>VIAyMinEnclosureByMetxorMety</t>
    <phoneticPr fontId="1" type="noConversion"/>
  </si>
  <si>
    <t>VIAyMinEnclosureByMetxorMetyTwoOppositeSide</t>
    <phoneticPr fontId="1" type="noConversion"/>
  </si>
  <si>
    <t>GR610c</t>
    <phoneticPr fontId="1" type="noConversion"/>
  </si>
  <si>
    <t>V1</t>
    <phoneticPr fontId="1" type="noConversion"/>
  </si>
  <si>
    <t>V2</t>
    <phoneticPr fontId="1" type="noConversion"/>
  </si>
  <si>
    <t>VyBAR exact width==0.05</t>
    <phoneticPr fontId="1" type="noConversion"/>
  </si>
  <si>
    <t>&gt;=0.017 for two opp sides overlap if other sides &gt;= 0 within My</t>
    <phoneticPr fontId="1" type="noConversion"/>
  </si>
  <si>
    <t>GR553q1_Vy</t>
    <phoneticPr fontId="1" type="noConversion"/>
  </si>
  <si>
    <t>Vy minimum center-to-center distance &gt;= 0.13</t>
    <phoneticPr fontId="1" type="noConversion"/>
  </si>
  <si>
    <t>Vy minimum center-to-center space &gt; 0.141 um</t>
    <phoneticPr fontId="1" type="noConversion"/>
  </si>
  <si>
    <t>GR553q2_Vy</t>
    <phoneticPr fontId="1" type="noConversion"/>
  </si>
  <si>
    <t>V2-V6</t>
    <phoneticPr fontId="1" type="noConversion"/>
  </si>
  <si>
    <t>VIAz</t>
    <phoneticPr fontId="1" type="noConversion"/>
  </si>
  <si>
    <t>VIAzMinSpace</t>
    <phoneticPr fontId="1" type="noConversion"/>
  </si>
  <si>
    <t>VIAzMinWidth</t>
    <phoneticPr fontId="1" type="noConversion"/>
  </si>
  <si>
    <t>VIAzMinSpace2</t>
    <phoneticPr fontId="1" type="noConversion"/>
  </si>
  <si>
    <t>VIAzMinSpaceFor3neighboing</t>
    <phoneticPr fontId="1" type="noConversion"/>
  </si>
  <si>
    <t>VIAzMinEnclosureByMetxorMety</t>
    <phoneticPr fontId="1" type="noConversion"/>
  </si>
  <si>
    <t>VIAzMinEnclosureByMetxorMetyTwoOppositeSide</t>
    <phoneticPr fontId="1" type="noConversion"/>
  </si>
  <si>
    <t>GR8x90_YX</t>
    <phoneticPr fontId="1" type="noConversion"/>
  </si>
  <si>
    <t>YXBAR exact width == 0.36</t>
    <phoneticPr fontId="1" type="noConversion"/>
  </si>
  <si>
    <t>GR8x53_YX</t>
    <phoneticPr fontId="1" type="noConversion"/>
  </si>
  <si>
    <t>YX minimum space and notch &gt;= 0.44</t>
    <phoneticPr fontId="1" type="noConversion"/>
  </si>
  <si>
    <t>distance == 0.06</t>
    <phoneticPr fontId="1" type="noConversion"/>
  </si>
  <si>
    <t>-</t>
    <phoneticPr fontId="1" type="noConversion"/>
  </si>
  <si>
    <t>YX</t>
    <phoneticPr fontId="1" type="noConversion"/>
  </si>
  <si>
    <t>GR8x61_YX</t>
    <phoneticPr fontId="1" type="noConversion"/>
  </si>
  <si>
    <t>YX must be within IA on two opposite sides &gt;= 0.08 with the other two sides &gt;= 0.02</t>
    <phoneticPr fontId="1" type="noConversion"/>
  </si>
  <si>
    <t>VIAr</t>
    <phoneticPr fontId="1" type="noConversion"/>
  </si>
  <si>
    <t>VIArMinWidth</t>
    <phoneticPr fontId="1" type="noConversion"/>
  </si>
  <si>
    <t>VIArMinSpace</t>
    <phoneticPr fontId="1" type="noConversion"/>
  </si>
  <si>
    <t>VIArMinSpace2</t>
    <phoneticPr fontId="1" type="noConversion"/>
  </si>
  <si>
    <t>VIArMinSpace21</t>
    <phoneticPr fontId="1" type="noConversion"/>
  </si>
  <si>
    <t>VIArMinSpaceFor3neighboing</t>
    <phoneticPr fontId="1" type="noConversion"/>
  </si>
  <si>
    <t>VIArMinEnclosureByMetxorMety</t>
    <phoneticPr fontId="1" type="noConversion"/>
  </si>
  <si>
    <t>VIArMinEnclosureByMetxorMetyTwoOppositeSide</t>
    <phoneticPr fontId="1" type="noConversion"/>
  </si>
  <si>
    <t>GR8Bx90</t>
    <phoneticPr fontId="1" type="noConversion"/>
  </si>
  <si>
    <t>XABAR exact width == 0.36</t>
    <phoneticPr fontId="1" type="noConversion"/>
  </si>
  <si>
    <t>GRBx53</t>
    <phoneticPr fontId="1" type="noConversion"/>
  </si>
  <si>
    <t>XA minimum space and notch &gt;= 0.44</t>
    <phoneticPr fontId="1" type="noConversion"/>
  </si>
  <si>
    <t>GRB8x63</t>
    <phoneticPr fontId="1" type="noConversion"/>
  </si>
  <si>
    <t>XA must be within IB on two opposite sides &gt;= 0.08 with the other two sides &gt;= 0.02</t>
    <phoneticPr fontId="1" type="noConversion"/>
  </si>
  <si>
    <t>YX-XA</t>
    <phoneticPr fontId="1" type="noConversion"/>
  </si>
  <si>
    <t>VV</t>
    <phoneticPr fontId="1" type="noConversion"/>
  </si>
  <si>
    <t>GRLB91</t>
    <phoneticPr fontId="1" type="noConversion"/>
  </si>
  <si>
    <t>VVBAR minimum space and notch &gt;= 2</t>
    <phoneticPr fontId="1" type="noConversion"/>
  </si>
  <si>
    <t>GRLB75</t>
    <phoneticPr fontId="1" type="noConversion"/>
  </si>
  <si>
    <t>VV must be within LB &gt;=1</t>
    <phoneticPr fontId="1" type="noConversion"/>
  </si>
  <si>
    <t>GRLB50</t>
    <phoneticPr fontId="1" type="noConversion"/>
  </si>
  <si>
    <t>VV must have (Width ==3, Length ==3)</t>
    <phoneticPr fontId="1" type="noConversion"/>
  </si>
  <si>
    <t>METALy</t>
    <phoneticPr fontId="1" type="noConversion"/>
  </si>
  <si>
    <t>Rule No.</t>
    <phoneticPr fontId="1" type="noConversion"/>
  </si>
  <si>
    <t>Description</t>
    <phoneticPr fontId="1" type="noConversion"/>
  </si>
  <si>
    <t>Rule</t>
    <phoneticPr fontId="1" type="noConversion"/>
  </si>
  <si>
    <t>Code</t>
    <phoneticPr fontId="1" type="noConversion"/>
  </si>
  <si>
    <t>Layer</t>
    <phoneticPr fontId="1" type="noConversion"/>
  </si>
  <si>
    <t>METALx</t>
    <phoneticPr fontId="1" type="noConversion"/>
  </si>
  <si>
    <t>MetalxMinWidth</t>
    <phoneticPr fontId="1" type="noConversion"/>
  </si>
  <si>
    <t>MetalxMinSpace</t>
    <phoneticPr fontId="1" type="noConversion"/>
  </si>
  <si>
    <t>MetalxMinSpace2</t>
    <phoneticPr fontId="1" type="noConversion"/>
  </si>
  <si>
    <t>MetalxMinSpace3</t>
    <phoneticPr fontId="1" type="noConversion"/>
  </si>
  <si>
    <t>MetalxMinSpaceAtCorner</t>
    <phoneticPr fontId="1" type="noConversion"/>
  </si>
  <si>
    <t>MetalxMinArea</t>
    <phoneticPr fontId="1" type="noConversion"/>
  </si>
  <si>
    <t>GR600_Mx</t>
    <phoneticPr fontId="1" type="noConversion"/>
  </si>
  <si>
    <t>Mx minimum width &gt;= 0.05</t>
    <phoneticPr fontId="1" type="noConversion"/>
  </si>
  <si>
    <t>GR601a_Mx</t>
    <phoneticPr fontId="1" type="noConversion"/>
  </si>
  <si>
    <t>Mx minimum area &gt;= 0.011</t>
    <phoneticPr fontId="1" type="noConversion"/>
  </si>
  <si>
    <t>GR602_Mx</t>
    <phoneticPr fontId="1" type="noConversion"/>
  </si>
  <si>
    <t>Mx minimum space and notch &gt;= 0.05</t>
    <phoneticPr fontId="1" type="noConversion"/>
  </si>
  <si>
    <t>GR604b4_Mx</t>
    <phoneticPr fontId="1" type="noConversion"/>
  </si>
  <si>
    <t>M2-M7</t>
    <phoneticPr fontId="1" type="noConversion"/>
  </si>
  <si>
    <t>GR504</t>
    <phoneticPr fontId="1" type="noConversion"/>
  </si>
  <si>
    <t>GR604b3_Mx</t>
    <phoneticPr fontId="1" type="noConversion"/>
  </si>
  <si>
    <t>GR604b2_Mx</t>
    <phoneticPr fontId="1" type="noConversion"/>
  </si>
  <si>
    <t>GR604b1_Mx</t>
    <phoneticPr fontId="1" type="noConversion"/>
  </si>
  <si>
    <t>GR604k1_Mx</t>
    <phoneticPr fontId="1" type="noConversion"/>
  </si>
  <si>
    <t>GR604k2_Mx</t>
    <phoneticPr fontId="1" type="noConversion"/>
  </si>
  <si>
    <t>GR604_Mx</t>
    <phoneticPr fontId="1" type="noConversion"/>
  </si>
  <si>
    <t>GR604a1_Mx</t>
    <phoneticPr fontId="1" type="noConversion"/>
  </si>
  <si>
    <t>GR604a2_Mx</t>
    <phoneticPr fontId="1" type="noConversion"/>
  </si>
  <si>
    <t>GR602a_Mx</t>
    <phoneticPr fontId="1" type="noConversion"/>
  </si>
  <si>
    <t>GR610a</t>
    <phoneticPr fontId="1" type="noConversion"/>
  </si>
  <si>
    <t>&gt;= 0.008 all sides within Mx</t>
    <phoneticPr fontId="1" type="noConversion"/>
  </si>
  <si>
    <t>&gt;= 0.017 for two opp sides overlap if other sides &gt;=0 within Mx</t>
    <phoneticPr fontId="1" type="noConversion"/>
  </si>
  <si>
    <t>METALx==</t>
    <phoneticPr fontId="1" type="noConversion"/>
  </si>
  <si>
    <t>METALz</t>
    <phoneticPr fontId="1" type="noConversion"/>
  </si>
  <si>
    <t>IA-IB</t>
    <phoneticPr fontId="1" type="noConversion"/>
  </si>
  <si>
    <t>MetalzMinWidth</t>
    <phoneticPr fontId="1" type="noConversion"/>
  </si>
  <si>
    <t>MetalzMaxWidth</t>
    <phoneticPr fontId="1" type="noConversion"/>
  </si>
  <si>
    <t>MetalzMinSpace</t>
    <phoneticPr fontId="1" type="noConversion"/>
  </si>
  <si>
    <t>MetalzMinSpace2</t>
    <phoneticPr fontId="1" type="noConversion"/>
  </si>
  <si>
    <t>MetalzMinSpace3</t>
    <phoneticPr fontId="1" type="noConversion"/>
  </si>
  <si>
    <t>MetalzMinEnclousreCO</t>
    <phoneticPr fontId="1" type="noConversion"/>
  </si>
  <si>
    <t>MetalzMinEnclousreCO2</t>
    <phoneticPr fontId="1" type="noConversion"/>
  </si>
  <si>
    <t>MetalzMinArea</t>
    <phoneticPr fontId="1" type="noConversion"/>
  </si>
  <si>
    <t>GR8x00_Iz</t>
    <phoneticPr fontId="1" type="noConversion"/>
  </si>
  <si>
    <t>GR8x01a_Iz</t>
    <phoneticPr fontId="1" type="noConversion"/>
  </si>
  <si>
    <t>Iz minimum width &gt;= 0.4</t>
    <phoneticPr fontId="1" type="noConversion"/>
  </si>
  <si>
    <t>Iz minimum area &gt;= 0.48</t>
    <phoneticPr fontId="1" type="noConversion"/>
  </si>
  <si>
    <t>GR8x02_Iz</t>
    <phoneticPr fontId="1" type="noConversion"/>
  </si>
  <si>
    <t>Iz minimum space and notch &gt;= 0.4</t>
    <phoneticPr fontId="1" type="noConversion"/>
  </si>
  <si>
    <t>GR8x00b_IA</t>
    <phoneticPr fontId="1" type="noConversion"/>
  </si>
  <si>
    <t>Iz maximum width &lt;= 12</t>
    <phoneticPr fontId="1" type="noConversion"/>
  </si>
  <si>
    <t>METALr</t>
    <phoneticPr fontId="1" type="noConversion"/>
  </si>
  <si>
    <t>MetalrMinWidth</t>
    <phoneticPr fontId="1" type="noConversion"/>
  </si>
  <si>
    <t>MetalrMaxWidth</t>
    <phoneticPr fontId="1" type="noConversion"/>
  </si>
  <si>
    <t>MetalrMinSpace</t>
    <phoneticPr fontId="1" type="noConversion"/>
  </si>
  <si>
    <t>MetalrMinSpace2</t>
    <phoneticPr fontId="1" type="noConversion"/>
  </si>
  <si>
    <t>MetalrMinSpace3</t>
    <phoneticPr fontId="1" type="noConversion"/>
  </si>
  <si>
    <t>MetalrMinEnclousreCO</t>
    <phoneticPr fontId="1" type="noConversion"/>
  </si>
  <si>
    <t>MetalrMinEnclousreCO2</t>
    <phoneticPr fontId="1" type="noConversion"/>
  </si>
  <si>
    <t>MetalrMinArea</t>
    <phoneticPr fontId="1" type="noConversion"/>
  </si>
  <si>
    <t>GRLB00</t>
    <phoneticPr fontId="1" type="noConversion"/>
  </si>
  <si>
    <t>LB minimum width &gt;= 4</t>
    <phoneticPr fontId="1" type="noConversion"/>
  </si>
  <si>
    <t>GRLB02</t>
    <phoneticPr fontId="1" type="noConversion"/>
  </si>
  <si>
    <t>LB minimum space and notch &gt;=2</t>
    <phoneticPr fontId="1" type="noConversion"/>
  </si>
  <si>
    <t>SLVT</t>
    <phoneticPr fontId="1" type="noConversion"/>
  </si>
  <si>
    <t>SlvtMinWidth</t>
    <phoneticPr fontId="1" type="noConversion"/>
  </si>
  <si>
    <t>GRSLVT1a</t>
    <phoneticPr fontId="1" type="noConversion"/>
  </si>
  <si>
    <t>SLVT minimum width for run length &gt;=0.17</t>
    <phoneticPr fontId="1" type="noConversion"/>
  </si>
  <si>
    <t>SlvtMinArea</t>
    <phoneticPr fontId="1" type="noConversion"/>
  </si>
  <si>
    <t>GRSLVT1_noNW</t>
    <phoneticPr fontId="1" type="noConversion"/>
  </si>
  <si>
    <t>((SLVT not NW),(SLVT and NW)) minimum area &gt;= 0.095</t>
    <phoneticPr fontId="1" type="noConversion"/>
  </si>
  <si>
    <t>SlvtMinSpace</t>
    <phoneticPr fontId="1" type="noConversion"/>
  </si>
  <si>
    <t>GRSLVT2a</t>
    <phoneticPr fontId="1" type="noConversion"/>
  </si>
  <si>
    <t>SLVT minimum space for run length &gt;=0.17</t>
    <phoneticPr fontId="1" type="noConversion"/>
  </si>
  <si>
    <t>GR268ba</t>
    <phoneticPr fontId="1" type="noConversion"/>
  </si>
  <si>
    <t>RX maximum distance to the CA on RX p-well contact not over NW</t>
    <phoneticPr fontId="1" type="noConversion"/>
  </si>
  <si>
    <t>GR351a</t>
    <phoneticPr fontId="1" type="noConversion"/>
  </si>
  <si>
    <t>GR101</t>
    <phoneticPr fontId="1" type="noConversion"/>
  </si>
  <si>
    <t>Pcmerge minumum area &gt;= 0.011</t>
    <phoneticPr fontId="1" type="noConversion"/>
  </si>
  <si>
    <t>GR251a</t>
    <phoneticPr fontId="1" type="noConversion"/>
  </si>
  <si>
    <t>GR250</t>
    <phoneticPr fontId="1" type="noConversion"/>
  </si>
  <si>
    <t>NW minimum area (um2) &gt;= 0.5</t>
    <phoneticPr fontId="1" type="noConversion"/>
  </si>
  <si>
    <t>GR51a</t>
    <phoneticPr fontId="1" type="noConversion"/>
  </si>
  <si>
    <t>RX minumum area (um2) &gt;= 0.017</t>
    <phoneticPr fontId="1" type="noConversion"/>
  </si>
  <si>
    <t>RX (with all edge length&lt;0.14u) minimum area (um2) &gt;= 0.027</t>
    <phoneticPr fontId="1" type="noConversion"/>
  </si>
  <si>
    <t>GR570b</t>
    <phoneticPr fontId="1" type="noConversion"/>
  </si>
  <si>
    <t>V1BAR must be within M1</t>
    <phoneticPr fontId="1" type="noConversion"/>
  </si>
  <si>
    <t>GR571b</t>
    <phoneticPr fontId="1" type="noConversion"/>
  </si>
  <si>
    <t>V1BAR must be within M2</t>
    <phoneticPr fontId="1" type="noConversion"/>
  </si>
  <si>
    <t>LB</t>
    <phoneticPr fontId="1" type="noConversion"/>
  </si>
  <si>
    <t>IB</t>
    <phoneticPr fontId="1" type="noConversion"/>
  </si>
  <si>
    <t>XA</t>
    <phoneticPr fontId="1" type="noConversion"/>
  </si>
  <si>
    <t>IA</t>
    <phoneticPr fontId="1" type="noConversion"/>
  </si>
  <si>
    <t>M7</t>
    <phoneticPr fontId="1" type="noConversion"/>
  </si>
  <si>
    <t>V6</t>
    <phoneticPr fontId="1" type="noConversion"/>
  </si>
  <si>
    <t>M6</t>
    <phoneticPr fontId="1" type="noConversion"/>
  </si>
  <si>
    <t>V5</t>
    <phoneticPr fontId="1" type="noConversion"/>
  </si>
  <si>
    <t>M5</t>
    <phoneticPr fontId="1" type="noConversion"/>
  </si>
  <si>
    <t>V4</t>
    <phoneticPr fontId="1" type="noConversion"/>
  </si>
  <si>
    <t>M4</t>
    <phoneticPr fontId="1" type="noConversion"/>
  </si>
  <si>
    <t>V3</t>
    <phoneticPr fontId="1" type="noConversion"/>
  </si>
  <si>
    <t>M3</t>
    <phoneticPr fontId="1" type="noConversion"/>
  </si>
  <si>
    <t>M2</t>
    <phoneticPr fontId="1" type="noConversion"/>
  </si>
  <si>
    <t>M1</t>
    <phoneticPr fontId="1" type="noConversion"/>
  </si>
  <si>
    <t>CA</t>
    <phoneticPr fontId="1" type="noConversion"/>
  </si>
  <si>
    <t>PC</t>
    <phoneticPr fontId="1" type="noConversion"/>
  </si>
  <si>
    <t>RX</t>
    <phoneticPr fontId="1" type="noConversion"/>
  </si>
  <si>
    <t>RX/BP</t>
    <phoneticPr fontId="1" type="noConversion"/>
  </si>
  <si>
    <t>RX/NW</t>
    <phoneticPr fontId="1" type="noConversion"/>
  </si>
  <si>
    <t>VDD</t>
    <phoneticPr fontId="1" type="noConversion"/>
  </si>
  <si>
    <t>GND</t>
    <phoneticPr fontId="1" type="noConversion"/>
  </si>
  <si>
    <t>GATE</t>
    <phoneticPr fontId="1" type="noConversion"/>
  </si>
  <si>
    <t>S/D</t>
    <phoneticPr fontId="1" type="noConversion"/>
  </si>
  <si>
    <t>METAL</t>
    <phoneticPr fontId="1" type="noConversion"/>
  </si>
  <si>
    <t>GR505a</t>
    <phoneticPr fontId="1" type="noConversion"/>
  </si>
  <si>
    <t>CA must be within M1</t>
    <phoneticPr fontId="1" type="noConversion"/>
  </si>
  <si>
    <t>PCCRIT</t>
    <phoneticPr fontId="1" type="noConversion"/>
  </si>
  <si>
    <t>Pccrit</t>
    <phoneticPr fontId="1" type="noConversion"/>
  </si>
  <si>
    <t>GRACLVO (LVS)</t>
    <phoneticPr fontId="1" type="noConversion"/>
  </si>
  <si>
    <t>(Gate touching PCCRIT) must be covered by PCCRIT</t>
    <phoneticPr fontId="1" type="noConversion"/>
  </si>
  <si>
    <t>GR52faa</t>
    <phoneticPr fontId="1" type="noConversion"/>
  </si>
  <si>
    <t>(RX edge with span &gt; 0.086 um) minimum space to RX &gt;=0.07</t>
    <phoneticPr fontId="1" type="noConversion"/>
  </si>
  <si>
    <t>GR52fad</t>
    <phoneticPr fontId="1" type="noConversion"/>
  </si>
  <si>
    <t>(RX edge with 0.086 &lt;= span 0.14um) minimum space to RX &gt;=0.08</t>
    <phoneticPr fontId="1" type="noConversion"/>
  </si>
  <si>
    <t>RX minimum width &gt;=0.14</t>
    <phoneticPr fontId="1" type="noConversion"/>
  </si>
  <si>
    <t>RX minumum space &gt;=0.07</t>
    <phoneticPr fontId="1" type="noConversion"/>
  </si>
  <si>
    <t>OdMinSpace3</t>
    <phoneticPr fontId="1" type="noConversion"/>
  </si>
  <si>
    <t>PpMinEnclosureOfPtypePoRes</t>
    <phoneticPr fontId="1" type="noConversion"/>
  </si>
  <si>
    <t>PpMinEnclosureOfPo</t>
    <phoneticPr fontId="1" type="noConversion"/>
  </si>
  <si>
    <t>T layer</t>
    <phoneticPr fontId="1" type="noConversion"/>
  </si>
  <si>
    <t>Pp</t>
    <phoneticPr fontId="1" type="noConversion"/>
  </si>
  <si>
    <t>OD</t>
    <phoneticPr fontId="1" type="noConversion"/>
  </si>
  <si>
    <t>PolygateMinExtensionOnOD</t>
    <phoneticPr fontId="1" type="noConversion"/>
  </si>
  <si>
    <t>PolygateMinSpaceAtCorner</t>
    <phoneticPr fontId="1" type="noConversion"/>
  </si>
  <si>
    <t>PO</t>
    <phoneticPr fontId="1" type="noConversion"/>
  </si>
  <si>
    <t>CO</t>
    <phoneticPr fontId="1" type="noConversion"/>
  </si>
  <si>
    <t>(M1 with width &gt; 0.208) minimum space for run length &gt;0.3, &gt;=0.14</t>
    <phoneticPr fontId="1" type="noConversion"/>
  </si>
  <si>
    <t>W&gt;0.208, L&gt;0.3, S&gt;=0.14</t>
    <phoneticPr fontId="1" type="noConversion"/>
  </si>
  <si>
    <t>(M1 with width &gt; 0.208) minimum space to (M1 with width &gt; 0.156), for run length &gt;0.3, for run length &gt;=0.111</t>
    <phoneticPr fontId="1" type="noConversion"/>
  </si>
  <si>
    <t>(M1 with width &gt; 0.208) minimum space to (M1 with width &gt; 0.072), for run length &gt;0.3, &gt;=0.103</t>
    <phoneticPr fontId="1" type="noConversion"/>
  </si>
  <si>
    <t>M1 minimum space to (M1 with width &gt;0.208), for run length &gt;0.3,  &gt;=0.095</t>
    <phoneticPr fontId="1" type="noConversion"/>
  </si>
  <si>
    <t>(M1 with width &gt; 0.156) minimum space for run length &gt;0, &gt;=0.082</t>
    <phoneticPr fontId="1" type="noConversion"/>
  </si>
  <si>
    <t>(M1 with width &gt; 0.156) minimum space to (M1 with width &gt; 0.072) for run length &gt;0, &gt;= 0.074</t>
    <phoneticPr fontId="1" type="noConversion"/>
  </si>
  <si>
    <t>M1 minimum space to (M1 with width &gt; 0.156) for run length &gt;0, &gt;=0.066</t>
    <phoneticPr fontId="1" type="noConversion"/>
  </si>
  <si>
    <t>(M1 with span &gt; 0.072) minimum space for run length &gt; 0.104, &gt;= 0.065</t>
    <phoneticPr fontId="1" type="noConversion"/>
  </si>
  <si>
    <t>(M1 with span &gt; 0.072) minimum space to M1, for run length &gt; 0.104, &gt;= 0.058</t>
    <phoneticPr fontId="1" type="noConversion"/>
  </si>
  <si>
    <t>GR504l1</t>
    <phoneticPr fontId="1" type="noConversion"/>
  </si>
  <si>
    <t>(M1 with span &gt; 0.156) minimum space to M1, for run length &gt; 0.104, &gt;= 0.059</t>
    <phoneticPr fontId="1" type="noConversion"/>
  </si>
  <si>
    <t>GR504l2</t>
    <phoneticPr fontId="1" type="noConversion"/>
  </si>
  <si>
    <t>(M1 with span &gt; 0.156) minimum space for run length &gt; 0.104, &gt;= 0.068</t>
    <phoneticPr fontId="1" type="noConversion"/>
  </si>
  <si>
    <t>GR504m1</t>
    <phoneticPr fontId="1" type="noConversion"/>
  </si>
  <si>
    <t>(M1 with span &gt; 0.208) minimum space to M1, for run length &gt; 0.104, &gt;=0.062</t>
    <phoneticPr fontId="1" type="noConversion"/>
  </si>
  <si>
    <t>GR504m2</t>
    <phoneticPr fontId="1" type="noConversion"/>
  </si>
  <si>
    <t>(M1 with span &gt; 0.208) minimum space for run length &gt; 0.104, &gt;=0.074</t>
    <phoneticPr fontId="1" type="noConversion"/>
  </si>
  <si>
    <t>NW</t>
    <phoneticPr fontId="1" type="noConversion"/>
  </si>
  <si>
    <t>(M1 with span &gt; 0.072) minimum space to M1, for run length &gt;0.104, &gt;= 0.058</t>
    <phoneticPr fontId="1" type="noConversion"/>
  </si>
  <si>
    <t>GR604l1_Mx</t>
    <phoneticPr fontId="1" type="noConversion"/>
  </si>
  <si>
    <t>(M1 with span &gt; 0.156) minimum space to M7, for run length &gt; 0.104, &gt;=0.059</t>
    <phoneticPr fontId="1" type="noConversion"/>
  </si>
  <si>
    <t>GR604l2_Mx</t>
    <phoneticPr fontId="1" type="noConversion"/>
  </si>
  <si>
    <t>(M1 with span &gt; 0.156) minimum space for run length &gt; 0.104, &gt;=0.068</t>
    <phoneticPr fontId="1" type="noConversion"/>
  </si>
  <si>
    <t>space2</t>
    <phoneticPr fontId="1" type="noConversion"/>
  </si>
  <si>
    <t>space21</t>
    <phoneticPr fontId="1" type="noConversion"/>
  </si>
  <si>
    <t>MetalxMinSpace4</t>
    <phoneticPr fontId="1" type="noConversion"/>
  </si>
  <si>
    <t>MetalxMinSpace5</t>
    <phoneticPr fontId="1" type="noConversion"/>
  </si>
  <si>
    <t>(IA with width &gt; 2.0) minimum space for run length &gt; 2.0, &gt;=0.8</t>
    <phoneticPr fontId="1" type="noConversion"/>
  </si>
  <si>
    <t>IA minimum space to (IA with width &gt; 2.0), for run length &gt; 2.0, &gt;=0.6</t>
    <phoneticPr fontId="1" type="noConversion"/>
  </si>
  <si>
    <t>(IA with width &gt; 4.0) minimum space for run length &gt; 4.0, &gt;=1.6</t>
    <phoneticPr fontId="1" type="noConversion"/>
  </si>
  <si>
    <t>GR8x04d_IA</t>
    <phoneticPr fontId="1" type="noConversion"/>
  </si>
  <si>
    <t>GR8x04c_IA</t>
    <phoneticPr fontId="1" type="noConversion"/>
  </si>
  <si>
    <t>((IA not over MOD) with width &gt; 2.0) minimum space to ((IA not over MOB) with width &gt; 4.0), for run length &gt;4.0, &gt;=1.2</t>
    <phoneticPr fontId="1" type="noConversion"/>
  </si>
  <si>
    <t>GR8x04b_IA</t>
    <phoneticPr fontId="1" type="noConversion"/>
  </si>
  <si>
    <t>IA minimum space to (IA with width &gt; 4.0), for run length &gt; 4.0, &gt;=1</t>
    <phoneticPr fontId="1" type="noConversion"/>
  </si>
  <si>
    <t>MetalxMinSpace21</t>
    <phoneticPr fontId="1" type="noConversion"/>
  </si>
  <si>
    <t>GR604_M3</t>
    <phoneticPr fontId="1" type="noConversion"/>
  </si>
  <si>
    <t>M3 minimum space to (M3 with width &gt; 0.156) for run length &gt;0 , &gt; = 0.066, junung</t>
    <phoneticPr fontId="1" type="noConversion"/>
  </si>
  <si>
    <t>MetalxMinSpace6</t>
    <phoneticPr fontId="1" type="noConversion"/>
  </si>
  <si>
    <t>GR604c1_Mx</t>
    <phoneticPr fontId="1" type="noConversion"/>
  </si>
  <si>
    <t>M4 minimum space to (M4 with width &gt; 0.700), for run length &gt; 0.700, &gt;= 0.165</t>
  </si>
  <si>
    <t>MetalxMinSpace7</t>
  </si>
  <si>
    <t>MetalxMinSpace8</t>
  </si>
  <si>
    <t>MetalxMinSpace9</t>
  </si>
  <si>
    <t>GR604c2_Mx</t>
  </si>
  <si>
    <t>GR604c3_Mx</t>
  </si>
  <si>
    <t># (M4 with width &gt; 0.700) minimum space to (M4 with width &gt; 0.072), for run length &gt; 0.700, &gt;= 0.173</t>
  </si>
  <si>
    <t>(M4 with width &gt; 0.700) minimum space to (M4 with width &gt; 0.156), for run length &gt; 0.700, &gt;= 0.181</t>
  </si>
  <si>
    <t>(M5 with width &gt; 0.208) minimum space to (M5 with width &gt; 0.700), for run length &gt; 0.700, &gt;= 0.21</t>
  </si>
  <si>
    <t>GR604d_Mx</t>
    <phoneticPr fontId="1" type="noConversion"/>
  </si>
  <si>
    <t>SlvtMinArea2</t>
    <phoneticPr fontId="1" type="noConversion"/>
  </si>
  <si>
    <t>GRB_BH03</t>
    <phoneticPr fontId="1" type="noConversion"/>
  </si>
  <si>
    <t>MetalxMinSpace10</t>
    <phoneticPr fontId="1" type="noConversion"/>
  </si>
  <si>
    <t>GR604e_M6</t>
    <phoneticPr fontId="1" type="noConversion"/>
  </si>
  <si>
    <t>(M6 with width &gt; 0.700) minimum space for run length &gt; 0.700, &gt;= 0.28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</si>
</sst>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0" xfId="1">
      <alignment vertical="center"/>
    </xf>
    <xf numFmtId="0" fontId="4" fillId="3" borderId="0" xfId="2">
      <alignment vertical="center"/>
    </xf>
  </cellXfs>
  <cellStyles count="3">
    <cellStyle name="40% - 강조색3" xfId="2" builtinId="39"/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U44"/>
  <sheetViews>
    <sheetView zoomScale="85" zoomScaleNormal="85" workbookViewId="0">
      <selection activeCell="G7" sqref="G7"/>
    </sheetView>
  </sheetViews>
  <sheetFormatPr defaultRowHeight="16.5" x14ac:dyDescent="0.3"/>
  <cols>
    <col min="5" max="5" width="14" customWidth="1"/>
    <col min="10" max="10" width="42.375" customWidth="1"/>
  </cols>
  <sheetData>
    <row r="3" spans="5:10" x14ac:dyDescent="0.3">
      <c r="H3" s="1"/>
    </row>
    <row r="4" spans="5:10" x14ac:dyDescent="0.3">
      <c r="E4" s="1" t="s">
        <v>2</v>
      </c>
      <c r="F4" s="1" t="s">
        <v>0</v>
      </c>
      <c r="G4" s="1" t="s">
        <v>1</v>
      </c>
      <c r="H4" s="1" t="s">
        <v>0</v>
      </c>
      <c r="I4" s="1" t="s">
        <v>1</v>
      </c>
    </row>
    <row r="5" spans="5:10" x14ac:dyDescent="0.3">
      <c r="E5" s="1" t="s">
        <v>3</v>
      </c>
      <c r="F5" s="1" t="s">
        <v>4</v>
      </c>
      <c r="G5" s="1" t="s">
        <v>5</v>
      </c>
      <c r="J5" s="1" t="s">
        <v>85</v>
      </c>
    </row>
    <row r="6" spans="5:10" x14ac:dyDescent="0.3">
      <c r="E6" s="1" t="s">
        <v>6</v>
      </c>
      <c r="F6" s="1" t="s">
        <v>6</v>
      </c>
      <c r="G6" s="1"/>
    </row>
    <row r="7" spans="5:10" x14ac:dyDescent="0.3">
      <c r="E7" s="1" t="s">
        <v>7</v>
      </c>
      <c r="F7" s="1" t="s">
        <v>8</v>
      </c>
      <c r="G7" s="1"/>
    </row>
    <row r="8" spans="5:10" x14ac:dyDescent="0.3">
      <c r="E8" s="1" t="s">
        <v>9</v>
      </c>
      <c r="F8" s="1" t="s">
        <v>10</v>
      </c>
      <c r="G8" s="1" t="s">
        <v>11</v>
      </c>
    </row>
    <row r="9" spans="5:10" x14ac:dyDescent="0.3">
      <c r="E9" s="1" t="s">
        <v>12</v>
      </c>
      <c r="F9" s="1" t="s">
        <v>13</v>
      </c>
      <c r="G9" s="1" t="s">
        <v>14</v>
      </c>
    </row>
    <row r="10" spans="5:10" x14ac:dyDescent="0.3">
      <c r="E10" s="1" t="s">
        <v>15</v>
      </c>
      <c r="F10" s="1" t="s">
        <v>16</v>
      </c>
      <c r="G10" s="1" t="s">
        <v>16</v>
      </c>
    </row>
    <row r="11" spans="5:10" x14ac:dyDescent="0.3">
      <c r="E11" s="1" t="s">
        <v>17</v>
      </c>
      <c r="F11" s="1" t="s">
        <v>16</v>
      </c>
      <c r="G11" s="1" t="s">
        <v>16</v>
      </c>
      <c r="H11" s="1" t="s">
        <v>18</v>
      </c>
      <c r="I11" s="1" t="s">
        <v>19</v>
      </c>
    </row>
    <row r="12" spans="5:10" x14ac:dyDescent="0.3">
      <c r="E12" s="1" t="s">
        <v>22</v>
      </c>
      <c r="F12" s="1" t="s">
        <v>20</v>
      </c>
      <c r="G12" s="1" t="s">
        <v>21</v>
      </c>
    </row>
    <row r="13" spans="5:10" x14ac:dyDescent="0.3">
      <c r="E13" s="1" t="s">
        <v>23</v>
      </c>
      <c r="F13" s="1" t="s">
        <v>24</v>
      </c>
      <c r="G13" s="1" t="s">
        <v>25</v>
      </c>
    </row>
    <row r="14" spans="5:10" x14ac:dyDescent="0.3">
      <c r="E14" s="1" t="s">
        <v>26</v>
      </c>
      <c r="F14" s="1" t="s">
        <v>27</v>
      </c>
      <c r="G14" s="1" t="s">
        <v>28</v>
      </c>
    </row>
    <row r="15" spans="5:10" x14ac:dyDescent="0.3">
      <c r="E15" s="1" t="s">
        <v>29</v>
      </c>
      <c r="F15" s="1" t="s">
        <v>30</v>
      </c>
      <c r="G15" s="1" t="s">
        <v>31</v>
      </c>
    </row>
    <row r="16" spans="5:10" x14ac:dyDescent="0.3">
      <c r="E16" s="1" t="s">
        <v>32</v>
      </c>
      <c r="F16" s="1" t="s">
        <v>33</v>
      </c>
      <c r="G16" s="1" t="s">
        <v>34</v>
      </c>
    </row>
    <row r="17" spans="5:21" x14ac:dyDescent="0.3">
      <c r="E17" s="1" t="s">
        <v>35</v>
      </c>
      <c r="F17" s="1" t="s">
        <v>36</v>
      </c>
      <c r="G17" s="1" t="s">
        <v>37</v>
      </c>
    </row>
    <row r="18" spans="5:21" x14ac:dyDescent="0.3">
      <c r="E18" s="1" t="s">
        <v>38</v>
      </c>
      <c r="F18" s="1" t="s">
        <v>39</v>
      </c>
      <c r="G18" s="1" t="s">
        <v>42</v>
      </c>
    </row>
    <row r="19" spans="5:21" x14ac:dyDescent="0.3">
      <c r="E19" s="1" t="s">
        <v>40</v>
      </c>
      <c r="F19" s="1" t="s">
        <v>41</v>
      </c>
      <c r="G19" s="1" t="s">
        <v>43</v>
      </c>
    </row>
    <row r="20" spans="5:21" x14ac:dyDescent="0.3">
      <c r="E20" s="1" t="s">
        <v>44</v>
      </c>
      <c r="F20" s="1" t="s">
        <v>45</v>
      </c>
      <c r="G20" s="1" t="s">
        <v>45</v>
      </c>
      <c r="S20">
        <v>0.19</v>
      </c>
      <c r="T20">
        <v>0.2</v>
      </c>
      <c r="U20">
        <f>S20*T20</f>
        <v>3.8000000000000006E-2</v>
      </c>
    </row>
    <row r="21" spans="5:21" x14ac:dyDescent="0.3">
      <c r="E21" s="1" t="s">
        <v>46</v>
      </c>
      <c r="F21" s="1" t="s">
        <v>45</v>
      </c>
      <c r="G21" s="1" t="s">
        <v>45</v>
      </c>
      <c r="H21" s="1" t="s">
        <v>18</v>
      </c>
      <c r="I21" s="1" t="s">
        <v>19</v>
      </c>
    </row>
    <row r="22" spans="5:21" x14ac:dyDescent="0.3">
      <c r="E22" s="1" t="s">
        <v>47</v>
      </c>
      <c r="F22" s="1" t="s">
        <v>48</v>
      </c>
      <c r="G22" s="1" t="s">
        <v>48</v>
      </c>
    </row>
    <row r="23" spans="5:21" x14ac:dyDescent="0.3">
      <c r="E23" s="1" t="s">
        <v>49</v>
      </c>
      <c r="F23" s="1" t="s">
        <v>48</v>
      </c>
      <c r="G23" s="1" t="s">
        <v>48</v>
      </c>
      <c r="H23" s="1" t="s">
        <v>18</v>
      </c>
      <c r="I23" s="1" t="s">
        <v>19</v>
      </c>
    </row>
    <row r="24" spans="5:21" x14ac:dyDescent="0.3">
      <c r="E24" s="1" t="s">
        <v>51</v>
      </c>
      <c r="F24" s="1" t="s">
        <v>50</v>
      </c>
      <c r="G24" s="1" t="s">
        <v>50</v>
      </c>
    </row>
    <row r="25" spans="5:21" x14ac:dyDescent="0.3">
      <c r="E25" s="1" t="s">
        <v>52</v>
      </c>
      <c r="F25" s="1" t="s">
        <v>50</v>
      </c>
      <c r="G25" s="1" t="s">
        <v>50</v>
      </c>
      <c r="H25" s="1" t="s">
        <v>18</v>
      </c>
      <c r="I25" s="1" t="s">
        <v>19</v>
      </c>
    </row>
    <row r="26" spans="5:21" x14ac:dyDescent="0.3">
      <c r="E26" s="1" t="s">
        <v>53</v>
      </c>
      <c r="F26" s="1" t="s">
        <v>54</v>
      </c>
      <c r="G26" s="1" t="s">
        <v>54</v>
      </c>
    </row>
    <row r="27" spans="5:21" x14ac:dyDescent="0.3">
      <c r="E27" s="1" t="s">
        <v>55</v>
      </c>
      <c r="F27" s="1" t="s">
        <v>54</v>
      </c>
      <c r="G27" s="1" t="s">
        <v>54</v>
      </c>
      <c r="H27" s="1" t="s">
        <v>18</v>
      </c>
      <c r="I27" s="1" t="s">
        <v>19</v>
      </c>
    </row>
    <row r="28" spans="5:21" x14ac:dyDescent="0.3">
      <c r="E28" s="1" t="s">
        <v>56</v>
      </c>
      <c r="F28" s="1" t="s">
        <v>57</v>
      </c>
      <c r="G28" s="1" t="s">
        <v>57</v>
      </c>
    </row>
    <row r="29" spans="5:21" x14ac:dyDescent="0.3">
      <c r="E29" s="1" t="s">
        <v>58</v>
      </c>
      <c r="F29" s="1" t="s">
        <v>57</v>
      </c>
      <c r="G29" s="1" t="s">
        <v>57</v>
      </c>
      <c r="H29" s="1" t="s">
        <v>18</v>
      </c>
      <c r="I29" s="1" t="s">
        <v>19</v>
      </c>
    </row>
    <row r="30" spans="5:21" x14ac:dyDescent="0.3">
      <c r="E30" s="1" t="s">
        <v>59</v>
      </c>
      <c r="F30" s="1" t="s">
        <v>60</v>
      </c>
      <c r="G30" s="1" t="s">
        <v>60</v>
      </c>
    </row>
    <row r="31" spans="5:21" x14ac:dyDescent="0.3">
      <c r="E31" s="1" t="s">
        <v>61</v>
      </c>
      <c r="F31" s="1" t="s">
        <v>60</v>
      </c>
      <c r="G31" s="1" t="s">
        <v>60</v>
      </c>
      <c r="H31" s="1" t="s">
        <v>18</v>
      </c>
      <c r="I31" s="1" t="s">
        <v>19</v>
      </c>
    </row>
    <row r="32" spans="5:21" x14ac:dyDescent="0.3">
      <c r="E32" s="1" t="s">
        <v>62</v>
      </c>
      <c r="F32" s="1" t="s">
        <v>63</v>
      </c>
      <c r="G32" s="1" t="s">
        <v>64</v>
      </c>
    </row>
    <row r="33" spans="5:9" x14ac:dyDescent="0.3">
      <c r="E33" s="1" t="s">
        <v>65</v>
      </c>
      <c r="F33" s="1" t="s">
        <v>63</v>
      </c>
      <c r="G33" s="1" t="s">
        <v>64</v>
      </c>
      <c r="H33" s="1" t="s">
        <v>18</v>
      </c>
      <c r="I33" s="1" t="s">
        <v>19</v>
      </c>
    </row>
    <row r="34" spans="5:9" x14ac:dyDescent="0.3">
      <c r="E34" s="1" t="s">
        <v>66</v>
      </c>
      <c r="F34" s="1" t="s">
        <v>67</v>
      </c>
      <c r="G34" s="1" t="s">
        <v>68</v>
      </c>
    </row>
    <row r="35" spans="5:9" x14ac:dyDescent="0.3">
      <c r="E35" s="1" t="s">
        <v>69</v>
      </c>
      <c r="F35" s="1" t="s">
        <v>67</v>
      </c>
      <c r="G35" s="1" t="s">
        <v>68</v>
      </c>
      <c r="H35" s="1" t="s">
        <v>18</v>
      </c>
      <c r="I35" s="1" t="s">
        <v>19</v>
      </c>
    </row>
    <row r="36" spans="5:9" x14ac:dyDescent="0.3">
      <c r="E36" s="1" t="s">
        <v>70</v>
      </c>
      <c r="F36" s="1" t="s">
        <v>71</v>
      </c>
      <c r="G36" s="1" t="s">
        <v>71</v>
      </c>
    </row>
    <row r="37" spans="5:9" x14ac:dyDescent="0.3">
      <c r="E37" s="1" t="s">
        <v>72</v>
      </c>
      <c r="F37" s="1" t="s">
        <v>73</v>
      </c>
      <c r="G37" s="1" t="s">
        <v>74</v>
      </c>
    </row>
    <row r="38" spans="5:9" x14ac:dyDescent="0.3">
      <c r="E38" s="1" t="s">
        <v>75</v>
      </c>
      <c r="F38" s="1" t="s">
        <v>76</v>
      </c>
      <c r="G38" s="1" t="s">
        <v>76</v>
      </c>
    </row>
    <row r="39" spans="5:9" x14ac:dyDescent="0.3">
      <c r="E39" s="1" t="s">
        <v>77</v>
      </c>
      <c r="F39" s="1" t="s">
        <v>71</v>
      </c>
      <c r="G39" s="1" t="s">
        <v>71</v>
      </c>
    </row>
    <row r="40" spans="5:9" x14ac:dyDescent="0.3">
      <c r="E40" s="1" t="s">
        <v>78</v>
      </c>
      <c r="F40" s="1" t="s">
        <v>78</v>
      </c>
      <c r="G40" s="1" t="s">
        <v>71</v>
      </c>
    </row>
    <row r="41" spans="5:9" x14ac:dyDescent="0.3">
      <c r="E41" s="1" t="s">
        <v>79</v>
      </c>
      <c r="F41" s="1" t="s">
        <v>79</v>
      </c>
      <c r="G41" s="1" t="s">
        <v>71</v>
      </c>
    </row>
    <row r="42" spans="5:9" x14ac:dyDescent="0.3">
      <c r="E42" s="1" t="s">
        <v>80</v>
      </c>
      <c r="F42" s="1" t="s">
        <v>80</v>
      </c>
      <c r="G42" s="1" t="s">
        <v>71</v>
      </c>
    </row>
    <row r="43" spans="5:9" x14ac:dyDescent="0.3">
      <c r="E43" s="1" t="s">
        <v>81</v>
      </c>
      <c r="F43" s="1" t="s">
        <v>82</v>
      </c>
      <c r="G43" s="1" t="s">
        <v>71</v>
      </c>
    </row>
    <row r="44" spans="5:9" x14ac:dyDescent="0.3">
      <c r="E44" s="1" t="s">
        <v>83</v>
      </c>
      <c r="F44" s="1" t="s">
        <v>84</v>
      </c>
      <c r="G44" s="1" t="s">
        <v>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AA205"/>
  <sheetViews>
    <sheetView tabSelected="1" topLeftCell="A126" zoomScale="85" zoomScaleNormal="85" workbookViewId="0">
      <selection activeCell="S146" sqref="S146"/>
    </sheetView>
  </sheetViews>
  <sheetFormatPr defaultRowHeight="16.5" x14ac:dyDescent="0.3"/>
  <cols>
    <col min="4" max="4" width="5.75" bestFit="1" customWidth="1"/>
    <col min="6" max="6" width="44.75" customWidth="1"/>
    <col min="7" max="7" width="8.875" customWidth="1"/>
    <col min="8" max="8" width="15" customWidth="1"/>
    <col min="20" max="20" width="5.625" customWidth="1"/>
    <col min="22" max="22" width="5.625" customWidth="1"/>
    <col min="24" max="24" width="5.625" customWidth="1"/>
    <col min="26" max="26" width="5.625" customWidth="1"/>
  </cols>
  <sheetData>
    <row r="4" spans="3:19" x14ac:dyDescent="0.3">
      <c r="D4">
        <v>4</v>
      </c>
    </row>
    <row r="5" spans="3:19" x14ac:dyDescent="0.3">
      <c r="S5" s="1"/>
    </row>
    <row r="6" spans="3:19" x14ac:dyDescent="0.3">
      <c r="C6" s="1" t="s">
        <v>398</v>
      </c>
      <c r="D6" s="1" t="s">
        <v>179</v>
      </c>
      <c r="E6" s="1" t="s">
        <v>272</v>
      </c>
      <c r="F6" t="s">
        <v>271</v>
      </c>
      <c r="G6" s="1" t="s">
        <v>270</v>
      </c>
      <c r="H6" t="s">
        <v>268</v>
      </c>
      <c r="I6" t="s">
        <v>269</v>
      </c>
    </row>
    <row r="7" spans="3:19" x14ac:dyDescent="0.3">
      <c r="C7" s="1" t="s">
        <v>399</v>
      </c>
      <c r="D7" s="1">
        <v>146</v>
      </c>
      <c r="E7" s="1" t="s">
        <v>5</v>
      </c>
      <c r="F7" t="s">
        <v>93</v>
      </c>
      <c r="G7" s="1">
        <v>170</v>
      </c>
      <c r="H7" t="s">
        <v>86</v>
      </c>
      <c r="I7" t="s">
        <v>87</v>
      </c>
    </row>
    <row r="8" spans="3:19" x14ac:dyDescent="0.3">
      <c r="C8" s="1"/>
      <c r="D8" s="1"/>
      <c r="E8" s="1"/>
      <c r="F8" t="s">
        <v>94</v>
      </c>
      <c r="G8" s="1">
        <v>170</v>
      </c>
      <c r="H8" t="s">
        <v>89</v>
      </c>
      <c r="I8" t="s">
        <v>90</v>
      </c>
    </row>
    <row r="9" spans="3:19" x14ac:dyDescent="0.3">
      <c r="C9" s="1"/>
      <c r="D9" s="1"/>
      <c r="E9" s="1"/>
      <c r="F9" t="s">
        <v>95</v>
      </c>
      <c r="G9" s="1">
        <v>56</v>
      </c>
      <c r="H9" t="s">
        <v>91</v>
      </c>
      <c r="I9" t="s">
        <v>92</v>
      </c>
    </row>
    <row r="10" spans="3:19" x14ac:dyDescent="0.3">
      <c r="C10" s="1"/>
      <c r="D10" s="1"/>
      <c r="E10" s="1"/>
      <c r="F10" t="s">
        <v>397</v>
      </c>
      <c r="G10" s="1">
        <v>132</v>
      </c>
      <c r="S10" s="4" t="s">
        <v>358</v>
      </c>
    </row>
    <row r="11" spans="3:19" x14ac:dyDescent="0.3">
      <c r="C11" s="1"/>
      <c r="D11" s="1"/>
      <c r="E11" s="1"/>
      <c r="F11" t="s">
        <v>396</v>
      </c>
      <c r="G11" s="1">
        <v>240</v>
      </c>
      <c r="S11" s="8"/>
    </row>
    <row r="12" spans="3:19" x14ac:dyDescent="0.3">
      <c r="C12" s="1"/>
      <c r="D12" s="1"/>
      <c r="E12" s="1"/>
      <c r="G12" s="10"/>
      <c r="H12" t="s">
        <v>345</v>
      </c>
      <c r="I12" t="s">
        <v>88</v>
      </c>
      <c r="S12" s="8"/>
    </row>
    <row r="13" spans="3:19" x14ac:dyDescent="0.3">
      <c r="C13" s="1"/>
      <c r="D13" s="1"/>
      <c r="E13" s="1"/>
      <c r="G13" s="1"/>
      <c r="S13" s="1" t="s">
        <v>260</v>
      </c>
    </row>
    <row r="14" spans="3:19" x14ac:dyDescent="0.3">
      <c r="C14" s="1" t="s">
        <v>400</v>
      </c>
      <c r="D14" s="1">
        <v>107</v>
      </c>
      <c r="E14" s="1" t="s">
        <v>11</v>
      </c>
      <c r="F14" t="s">
        <v>99</v>
      </c>
      <c r="G14" s="1">
        <v>140</v>
      </c>
      <c r="I14" t="s">
        <v>393</v>
      </c>
      <c r="S14" s="4" t="s">
        <v>359</v>
      </c>
    </row>
    <row r="15" spans="3:19" x14ac:dyDescent="0.3">
      <c r="C15" s="1"/>
      <c r="D15" s="1"/>
      <c r="E15" s="1"/>
      <c r="F15" t="s">
        <v>98</v>
      </c>
      <c r="G15" s="1">
        <v>70</v>
      </c>
      <c r="I15" t="s">
        <v>394</v>
      </c>
      <c r="S15" s="1" t="s">
        <v>360</v>
      </c>
    </row>
    <row r="16" spans="3:19" x14ac:dyDescent="0.3">
      <c r="C16" s="1"/>
      <c r="D16" s="1"/>
      <c r="E16" s="1"/>
      <c r="F16" t="s">
        <v>395</v>
      </c>
      <c r="G16" s="10"/>
      <c r="H16" t="s">
        <v>100</v>
      </c>
      <c r="I16" t="s">
        <v>101</v>
      </c>
      <c r="S16" s="4" t="s">
        <v>361</v>
      </c>
    </row>
    <row r="17" spans="3:27" x14ac:dyDescent="0.3">
      <c r="C17" s="1"/>
      <c r="D17" s="1"/>
      <c r="E17" s="1"/>
      <c r="G17" s="10"/>
      <c r="H17" t="s">
        <v>96</v>
      </c>
      <c r="I17" t="s">
        <v>97</v>
      </c>
      <c r="S17" s="1" t="s">
        <v>242</v>
      </c>
    </row>
    <row r="18" spans="3:27" x14ac:dyDescent="0.3">
      <c r="C18" s="1"/>
      <c r="D18" s="1"/>
      <c r="E18" s="1"/>
      <c r="G18" s="10"/>
      <c r="H18" t="s">
        <v>351</v>
      </c>
      <c r="I18" t="s">
        <v>352</v>
      </c>
      <c r="S18" s="4" t="s">
        <v>362</v>
      </c>
    </row>
    <row r="19" spans="3:27" x14ac:dyDescent="0.3">
      <c r="C19" s="1"/>
      <c r="D19" s="1"/>
      <c r="E19" s="1"/>
      <c r="G19" s="10"/>
      <c r="H19" t="s">
        <v>351</v>
      </c>
      <c r="I19" t="s">
        <v>353</v>
      </c>
      <c r="S19" s="1" t="s">
        <v>363</v>
      </c>
    </row>
    <row r="20" spans="3:27" x14ac:dyDescent="0.3">
      <c r="C20" s="1"/>
      <c r="D20" s="1"/>
      <c r="E20" s="1"/>
      <c r="G20" s="10"/>
      <c r="H20" t="s">
        <v>389</v>
      </c>
      <c r="I20" t="s">
        <v>390</v>
      </c>
      <c r="S20" s="4" t="s">
        <v>364</v>
      </c>
    </row>
    <row r="21" spans="3:27" x14ac:dyDescent="0.3">
      <c r="C21" s="1"/>
      <c r="D21" s="1"/>
      <c r="E21" s="1"/>
      <c r="G21" s="10"/>
      <c r="H21" t="s">
        <v>391</v>
      </c>
      <c r="I21" t="s">
        <v>392</v>
      </c>
      <c r="S21" s="1" t="s">
        <v>365</v>
      </c>
    </row>
    <row r="22" spans="3:27" x14ac:dyDescent="0.3">
      <c r="C22" s="1"/>
      <c r="D22" s="1"/>
      <c r="E22" s="1"/>
      <c r="G22" s="1"/>
      <c r="S22" s="4" t="s">
        <v>366</v>
      </c>
    </row>
    <row r="23" spans="3:27" x14ac:dyDescent="0.3">
      <c r="C23" s="1" t="s">
        <v>403</v>
      </c>
      <c r="D23" s="1">
        <v>123</v>
      </c>
      <c r="E23" s="1" t="s">
        <v>74</v>
      </c>
      <c r="F23" t="s">
        <v>102</v>
      </c>
      <c r="G23" s="1">
        <v>30</v>
      </c>
      <c r="H23" t="s">
        <v>107</v>
      </c>
      <c r="I23" t="s">
        <v>108</v>
      </c>
      <c r="S23" s="1" t="s">
        <v>367</v>
      </c>
    </row>
    <row r="24" spans="3:27" x14ac:dyDescent="0.3">
      <c r="C24" s="1"/>
      <c r="D24" s="1"/>
      <c r="F24" t="s">
        <v>103</v>
      </c>
      <c r="G24" s="1">
        <v>96</v>
      </c>
      <c r="H24" t="s">
        <v>109</v>
      </c>
      <c r="I24" t="s">
        <v>110</v>
      </c>
      <c r="S24" s="4" t="s">
        <v>368</v>
      </c>
    </row>
    <row r="25" spans="3:27" x14ac:dyDescent="0.3">
      <c r="C25" s="1"/>
      <c r="D25" s="1"/>
      <c r="F25" t="s">
        <v>104</v>
      </c>
      <c r="G25" s="1">
        <v>96</v>
      </c>
      <c r="S25" s="1" t="s">
        <v>369</v>
      </c>
    </row>
    <row r="26" spans="3:27" x14ac:dyDescent="0.3">
      <c r="C26" s="1"/>
      <c r="D26" s="1"/>
      <c r="F26" t="s">
        <v>105</v>
      </c>
      <c r="G26" s="1">
        <v>28</v>
      </c>
      <c r="H26" t="s">
        <v>111</v>
      </c>
      <c r="I26" t="s">
        <v>112</v>
      </c>
      <c r="S26" s="4" t="s">
        <v>370</v>
      </c>
      <c r="U26" s="1"/>
      <c r="V26" s="1"/>
    </row>
    <row r="27" spans="3:27" x14ac:dyDescent="0.3">
      <c r="C27" s="1"/>
      <c r="D27" s="1"/>
      <c r="F27" t="s">
        <v>106</v>
      </c>
      <c r="G27" s="1">
        <v>37</v>
      </c>
      <c r="H27" t="s">
        <v>113</v>
      </c>
      <c r="I27" t="s">
        <v>114</v>
      </c>
      <c r="S27" s="1" t="s">
        <v>221</v>
      </c>
      <c r="U27" s="1"/>
      <c r="V27" s="1"/>
    </row>
    <row r="28" spans="3:27" x14ac:dyDescent="0.3">
      <c r="C28" s="1"/>
      <c r="D28" s="1"/>
      <c r="F28" t="s">
        <v>115</v>
      </c>
      <c r="G28" s="1">
        <v>96</v>
      </c>
      <c r="I28" t="s">
        <v>110</v>
      </c>
      <c r="S28" s="4" t="s">
        <v>371</v>
      </c>
      <c r="U28" s="1"/>
      <c r="V28" s="1"/>
      <c r="Y28" s="1"/>
    </row>
    <row r="29" spans="3:27" x14ac:dyDescent="0.3">
      <c r="C29" s="1"/>
      <c r="D29" s="1"/>
      <c r="F29" t="s">
        <v>401</v>
      </c>
      <c r="G29" s="1">
        <v>96</v>
      </c>
      <c r="S29" s="8"/>
      <c r="U29" s="1"/>
      <c r="V29" s="1"/>
      <c r="Y29" s="1"/>
    </row>
    <row r="30" spans="3:27" x14ac:dyDescent="0.3">
      <c r="C30" s="1"/>
      <c r="D30" s="1"/>
      <c r="F30" t="s">
        <v>402</v>
      </c>
      <c r="G30" s="1">
        <v>96</v>
      </c>
      <c r="S30" s="8"/>
      <c r="U30" s="1"/>
      <c r="V30" s="1"/>
      <c r="Y30" s="1"/>
    </row>
    <row r="31" spans="3:27" x14ac:dyDescent="0.3">
      <c r="C31" s="1"/>
      <c r="D31" s="1"/>
      <c r="G31" s="1"/>
      <c r="H31" t="s">
        <v>346</v>
      </c>
      <c r="I31" t="s">
        <v>347</v>
      </c>
      <c r="S31" s="1" t="s">
        <v>220</v>
      </c>
      <c r="U31" s="1"/>
      <c r="V31" s="1"/>
      <c r="Y31" s="1"/>
      <c r="AA31" s="1"/>
    </row>
    <row r="32" spans="3:27" x14ac:dyDescent="0.3">
      <c r="C32" s="1"/>
      <c r="D32" s="1"/>
      <c r="G32" s="1"/>
      <c r="S32" s="4" t="s">
        <v>372</v>
      </c>
      <c r="U32" s="4" t="s">
        <v>372</v>
      </c>
      <c r="W32" s="4" t="s">
        <v>372</v>
      </c>
      <c r="Y32" s="4" t="s">
        <v>372</v>
      </c>
      <c r="AA32" s="4" t="s">
        <v>372</v>
      </c>
    </row>
    <row r="33" spans="3:27" x14ac:dyDescent="0.3">
      <c r="C33" s="1" t="s">
        <v>404</v>
      </c>
      <c r="D33" s="1">
        <v>158</v>
      </c>
      <c r="E33" s="1" t="s">
        <v>14</v>
      </c>
      <c r="F33" t="s">
        <v>116</v>
      </c>
      <c r="G33" s="1">
        <v>40</v>
      </c>
      <c r="I33" t="s">
        <v>125</v>
      </c>
      <c r="S33" s="1" t="s">
        <v>373</v>
      </c>
      <c r="U33" s="1" t="s">
        <v>373</v>
      </c>
      <c r="W33" s="1" t="s">
        <v>373</v>
      </c>
      <c r="Y33" s="1" t="s">
        <v>373</v>
      </c>
      <c r="AA33" s="1" t="s">
        <v>373</v>
      </c>
    </row>
    <row r="34" spans="3:27" x14ac:dyDescent="0.3">
      <c r="C34" s="1"/>
      <c r="D34" s="1"/>
      <c r="F34" t="s">
        <v>117</v>
      </c>
      <c r="G34" s="1">
        <v>60</v>
      </c>
      <c r="H34" t="s">
        <v>126</v>
      </c>
      <c r="I34" t="s">
        <v>127</v>
      </c>
      <c r="N34" t="s">
        <v>240</v>
      </c>
      <c r="S34" s="4" t="s">
        <v>374</v>
      </c>
      <c r="U34" s="4" t="s">
        <v>377</v>
      </c>
      <c r="W34" s="4" t="s">
        <v>376</v>
      </c>
      <c r="Y34" s="4" t="s">
        <v>374</v>
      </c>
      <c r="AA34" s="4" t="s">
        <v>375</v>
      </c>
    </row>
    <row r="35" spans="3:27" x14ac:dyDescent="0.3">
      <c r="C35" s="1"/>
      <c r="D35" s="1"/>
      <c r="F35" t="s">
        <v>118</v>
      </c>
      <c r="G35" s="1">
        <v>60</v>
      </c>
      <c r="S35" s="1"/>
      <c r="U35" s="5"/>
      <c r="V35" s="1"/>
      <c r="Y35" s="1"/>
    </row>
    <row r="36" spans="3:27" x14ac:dyDescent="0.3">
      <c r="C36" s="1"/>
      <c r="D36" s="1"/>
      <c r="F36" t="s">
        <v>119</v>
      </c>
      <c r="G36" s="1">
        <v>92</v>
      </c>
      <c r="H36" t="s">
        <v>128</v>
      </c>
      <c r="I36" t="s">
        <v>129</v>
      </c>
      <c r="S36" s="7" t="s">
        <v>382</v>
      </c>
      <c r="U36" s="6" t="s">
        <v>378</v>
      </c>
      <c r="V36" s="1"/>
      <c r="W36" s="7" t="s">
        <v>379</v>
      </c>
      <c r="Y36" s="6" t="s">
        <v>380</v>
      </c>
      <c r="AA36" s="6" t="s">
        <v>381</v>
      </c>
    </row>
    <row r="37" spans="3:27" x14ac:dyDescent="0.3">
      <c r="C37" s="1"/>
      <c r="D37" s="1"/>
      <c r="F37" t="s">
        <v>120</v>
      </c>
      <c r="G37" s="1">
        <v>92</v>
      </c>
      <c r="U37" s="5"/>
      <c r="V37" s="1"/>
      <c r="Y37" s="1"/>
    </row>
    <row r="38" spans="3:27" x14ac:dyDescent="0.3">
      <c r="C38" s="1"/>
      <c r="D38" s="1"/>
      <c r="F38" t="s">
        <v>121</v>
      </c>
      <c r="G38" s="1">
        <v>14</v>
      </c>
      <c r="H38" t="s">
        <v>130</v>
      </c>
      <c r="I38" t="s">
        <v>131</v>
      </c>
      <c r="Y38" s="1"/>
    </row>
    <row r="39" spans="3:27" x14ac:dyDescent="0.3">
      <c r="C39" s="1"/>
      <c r="D39" s="1"/>
      <c r="F39" t="s">
        <v>122</v>
      </c>
      <c r="G39" s="1">
        <v>20</v>
      </c>
      <c r="H39" t="s">
        <v>132</v>
      </c>
      <c r="I39" t="s">
        <v>133</v>
      </c>
    </row>
    <row r="40" spans="3:27" x14ac:dyDescent="0.3">
      <c r="C40" s="1"/>
      <c r="D40" s="1"/>
      <c r="G40" s="10"/>
      <c r="H40" t="s">
        <v>134</v>
      </c>
      <c r="I40" t="s">
        <v>135</v>
      </c>
    </row>
    <row r="41" spans="3:27" x14ac:dyDescent="0.3">
      <c r="C41" s="1"/>
      <c r="D41" s="1"/>
      <c r="F41" t="s">
        <v>123</v>
      </c>
      <c r="G41" s="1">
        <v>30</v>
      </c>
      <c r="H41" t="s">
        <v>136</v>
      </c>
      <c r="I41" t="s">
        <v>137</v>
      </c>
    </row>
    <row r="42" spans="3:27" x14ac:dyDescent="0.3">
      <c r="C42" s="1"/>
      <c r="D42" s="1"/>
      <c r="F42" t="s">
        <v>124</v>
      </c>
      <c r="G42" s="1">
        <v>30</v>
      </c>
    </row>
    <row r="43" spans="3:27" x14ac:dyDescent="0.3">
      <c r="C43" s="1"/>
      <c r="D43" s="1"/>
      <c r="G43" s="10"/>
      <c r="H43" t="s">
        <v>383</v>
      </c>
      <c r="I43" t="s">
        <v>384</v>
      </c>
    </row>
    <row r="44" spans="3:27" x14ac:dyDescent="0.3">
      <c r="C44" s="1"/>
      <c r="D44" s="1"/>
      <c r="G44" s="1"/>
    </row>
    <row r="45" spans="3:27" x14ac:dyDescent="0.3">
      <c r="C45" s="1" t="s">
        <v>15</v>
      </c>
      <c r="D45" s="1">
        <v>162</v>
      </c>
      <c r="E45" s="1" t="s">
        <v>16</v>
      </c>
      <c r="F45" t="s">
        <v>138</v>
      </c>
      <c r="G45" s="1">
        <v>50</v>
      </c>
      <c r="H45" t="s">
        <v>150</v>
      </c>
      <c r="I45" t="s">
        <v>151</v>
      </c>
    </row>
    <row r="46" spans="3:27" x14ac:dyDescent="0.3">
      <c r="C46" s="1"/>
      <c r="D46" s="1"/>
      <c r="F46" t="s">
        <v>139</v>
      </c>
      <c r="G46" s="1">
        <v>50</v>
      </c>
      <c r="H46" t="s">
        <v>154</v>
      </c>
      <c r="I46" t="s">
        <v>155</v>
      </c>
    </row>
    <row r="47" spans="3:27" x14ac:dyDescent="0.3">
      <c r="C47" s="1"/>
      <c r="D47" s="1"/>
      <c r="G47" s="1"/>
    </row>
    <row r="48" spans="3:27" x14ac:dyDescent="0.3">
      <c r="C48" s="1"/>
      <c r="D48" s="1"/>
      <c r="F48" t="s">
        <v>140</v>
      </c>
      <c r="G48" s="1">
        <v>65</v>
      </c>
      <c r="H48" t="s">
        <v>167</v>
      </c>
      <c r="I48" t="s">
        <v>414</v>
      </c>
    </row>
    <row r="49" spans="3:16" x14ac:dyDescent="0.3">
      <c r="C49" s="1"/>
      <c r="D49" s="1"/>
      <c r="F49" t="s">
        <v>141</v>
      </c>
      <c r="G49" s="1">
        <v>82</v>
      </c>
      <c r="H49" t="s">
        <v>156</v>
      </c>
      <c r="I49" t="s">
        <v>413</v>
      </c>
    </row>
    <row r="50" spans="3:16" x14ac:dyDescent="0.3">
      <c r="C50" s="1"/>
      <c r="D50" s="1"/>
      <c r="F50" t="s">
        <v>142</v>
      </c>
      <c r="G50" s="1">
        <v>74</v>
      </c>
    </row>
    <row r="51" spans="3:16" x14ac:dyDescent="0.3">
      <c r="C51" s="1"/>
      <c r="D51" s="1"/>
      <c r="F51" t="s">
        <v>143</v>
      </c>
      <c r="G51" s="1">
        <v>140</v>
      </c>
      <c r="H51" t="s">
        <v>288</v>
      </c>
      <c r="I51" t="s">
        <v>412</v>
      </c>
    </row>
    <row r="52" spans="3:16" x14ac:dyDescent="0.3">
      <c r="C52" s="1"/>
      <c r="D52" s="1"/>
      <c r="G52" s="1"/>
      <c r="H52" t="s">
        <v>165</v>
      </c>
      <c r="I52" t="s">
        <v>411</v>
      </c>
    </row>
    <row r="53" spans="3:16" x14ac:dyDescent="0.3">
      <c r="C53" s="1"/>
      <c r="D53" s="1"/>
      <c r="G53" s="1"/>
      <c r="H53" t="s">
        <v>157</v>
      </c>
      <c r="I53" t="s">
        <v>410</v>
      </c>
    </row>
    <row r="54" spans="3:16" x14ac:dyDescent="0.3">
      <c r="C54" s="1"/>
      <c r="D54" s="1"/>
      <c r="G54" s="1"/>
    </row>
    <row r="55" spans="3:16" x14ac:dyDescent="0.3">
      <c r="C55" s="1"/>
      <c r="D55" s="1"/>
      <c r="G55" s="1"/>
      <c r="H55" t="s">
        <v>158</v>
      </c>
      <c r="I55" t="s">
        <v>409</v>
      </c>
    </row>
    <row r="56" spans="3:16" x14ac:dyDescent="0.3">
      <c r="C56" s="1"/>
      <c r="D56" s="1"/>
      <c r="G56" s="1"/>
      <c r="H56" t="s">
        <v>163</v>
      </c>
      <c r="I56" t="s">
        <v>408</v>
      </c>
    </row>
    <row r="57" spans="3:16" x14ac:dyDescent="0.3">
      <c r="C57" s="1"/>
      <c r="D57" s="1"/>
      <c r="G57" s="1"/>
      <c r="H57" t="s">
        <v>160</v>
      </c>
      <c r="I57" t="s">
        <v>407</v>
      </c>
    </row>
    <row r="58" spans="3:16" x14ac:dyDescent="0.3">
      <c r="C58" s="1"/>
      <c r="D58" s="1"/>
      <c r="G58" s="1"/>
      <c r="H58" t="s">
        <v>159</v>
      </c>
      <c r="I58" t="s">
        <v>405</v>
      </c>
      <c r="P58" t="s">
        <v>406</v>
      </c>
    </row>
    <row r="59" spans="3:16" x14ac:dyDescent="0.3">
      <c r="C59" s="1"/>
      <c r="D59" s="1"/>
      <c r="G59" s="1"/>
    </row>
    <row r="60" spans="3:16" x14ac:dyDescent="0.3">
      <c r="C60" s="1"/>
      <c r="D60" s="1"/>
      <c r="G60" s="1"/>
      <c r="H60" t="s">
        <v>415</v>
      </c>
      <c r="I60" t="s">
        <v>416</v>
      </c>
    </row>
    <row r="61" spans="3:16" x14ac:dyDescent="0.3">
      <c r="C61" s="1"/>
      <c r="D61" s="1"/>
      <c r="G61" s="1"/>
      <c r="H61" t="s">
        <v>417</v>
      </c>
      <c r="I61" t="s">
        <v>418</v>
      </c>
    </row>
    <row r="62" spans="3:16" x14ac:dyDescent="0.3">
      <c r="C62" s="1"/>
      <c r="D62" s="1"/>
      <c r="G62" s="1"/>
    </row>
    <row r="63" spans="3:16" x14ac:dyDescent="0.3">
      <c r="C63" s="1"/>
      <c r="D63" s="1"/>
      <c r="G63" s="1"/>
      <c r="H63" t="s">
        <v>419</v>
      </c>
      <c r="I63" t="s">
        <v>420</v>
      </c>
    </row>
    <row r="64" spans="3:16" x14ac:dyDescent="0.3">
      <c r="C64" s="1"/>
      <c r="D64" s="1"/>
      <c r="G64" s="1"/>
      <c r="H64" t="s">
        <v>421</v>
      </c>
      <c r="I64" t="s">
        <v>422</v>
      </c>
    </row>
    <row r="65" spans="3:9" x14ac:dyDescent="0.3">
      <c r="C65" s="1"/>
      <c r="D65" s="1"/>
      <c r="G65" s="1"/>
    </row>
    <row r="66" spans="3:9" x14ac:dyDescent="0.3">
      <c r="C66" s="1"/>
      <c r="D66" s="1"/>
      <c r="F66" t="s">
        <v>144</v>
      </c>
      <c r="G66" s="1">
        <v>60</v>
      </c>
      <c r="H66" t="s">
        <v>168</v>
      </c>
      <c r="I66" t="s">
        <v>169</v>
      </c>
    </row>
    <row r="67" spans="3:9" x14ac:dyDescent="0.3">
      <c r="C67" s="1"/>
      <c r="D67" s="1"/>
      <c r="F67" t="s">
        <v>146</v>
      </c>
      <c r="G67" s="1">
        <v>0</v>
      </c>
      <c r="I67" t="s">
        <v>172</v>
      </c>
    </row>
    <row r="68" spans="3:9" x14ac:dyDescent="0.3">
      <c r="C68" s="1"/>
      <c r="D68" s="1"/>
      <c r="F68" t="s">
        <v>145</v>
      </c>
      <c r="G68" s="1">
        <v>17</v>
      </c>
      <c r="H68" t="s">
        <v>171</v>
      </c>
      <c r="I68" t="s">
        <v>170</v>
      </c>
    </row>
    <row r="69" spans="3:9" x14ac:dyDescent="0.3">
      <c r="C69" s="1"/>
      <c r="D69" s="1"/>
      <c r="G69" s="1"/>
      <c r="H69" t="s">
        <v>173</v>
      </c>
      <c r="I69" t="s">
        <v>176</v>
      </c>
    </row>
    <row r="70" spans="3:9" x14ac:dyDescent="0.3">
      <c r="C70" s="1"/>
      <c r="D70" s="1"/>
      <c r="G70" s="1"/>
      <c r="H70" t="s">
        <v>174</v>
      </c>
      <c r="I70" t="s">
        <v>175</v>
      </c>
    </row>
    <row r="71" spans="3:9" x14ac:dyDescent="0.3">
      <c r="C71" s="1"/>
      <c r="D71" s="1"/>
      <c r="G71" s="1"/>
    </row>
    <row r="72" spans="3:9" x14ac:dyDescent="0.3">
      <c r="C72" s="1"/>
      <c r="D72" s="1"/>
      <c r="F72" t="s">
        <v>147</v>
      </c>
      <c r="G72" s="1">
        <v>0</v>
      </c>
      <c r="I72">
        <f>0</f>
        <v>0</v>
      </c>
    </row>
    <row r="73" spans="3:9" x14ac:dyDescent="0.3">
      <c r="C73" s="1"/>
      <c r="D73" s="1"/>
      <c r="F73" t="s">
        <v>148</v>
      </c>
      <c r="G73" s="1">
        <v>21</v>
      </c>
      <c r="H73" t="s">
        <v>177</v>
      </c>
      <c r="I73" t="s">
        <v>178</v>
      </c>
    </row>
    <row r="74" spans="3:9" x14ac:dyDescent="0.3">
      <c r="C74" s="1"/>
      <c r="D74" s="1"/>
      <c r="G74" s="1"/>
    </row>
    <row r="75" spans="3:9" x14ac:dyDescent="0.3">
      <c r="C75" s="1"/>
      <c r="D75" s="1"/>
      <c r="F75" t="s">
        <v>149</v>
      </c>
      <c r="G75" s="1">
        <v>10</v>
      </c>
      <c r="H75" t="s">
        <v>152</v>
      </c>
      <c r="I75" t="s">
        <v>153</v>
      </c>
    </row>
    <row r="76" spans="3:9" x14ac:dyDescent="0.3">
      <c r="C76" s="1"/>
      <c r="D76" s="1"/>
      <c r="G76" s="1"/>
    </row>
    <row r="77" spans="3:9" x14ac:dyDescent="0.3">
      <c r="C77" s="1" t="s">
        <v>423</v>
      </c>
      <c r="D77" s="1">
        <v>110</v>
      </c>
      <c r="E77" s="1" t="s">
        <v>76</v>
      </c>
      <c r="F77" t="s">
        <v>180</v>
      </c>
      <c r="G77" s="1">
        <v>260</v>
      </c>
      <c r="H77" t="s">
        <v>349</v>
      </c>
      <c r="I77" t="s">
        <v>184</v>
      </c>
    </row>
    <row r="78" spans="3:9" x14ac:dyDescent="0.3">
      <c r="C78" s="1"/>
      <c r="D78" s="1"/>
      <c r="F78" t="s">
        <v>181</v>
      </c>
      <c r="G78" s="1">
        <v>260</v>
      </c>
      <c r="H78" t="s">
        <v>185</v>
      </c>
      <c r="I78" t="s">
        <v>186</v>
      </c>
    </row>
    <row r="79" spans="3:9" x14ac:dyDescent="0.3">
      <c r="C79" s="1"/>
      <c r="D79" s="1"/>
      <c r="G79" s="10"/>
      <c r="H79" t="s">
        <v>187</v>
      </c>
      <c r="I79" t="s">
        <v>188</v>
      </c>
    </row>
    <row r="80" spans="3:9" x14ac:dyDescent="0.3">
      <c r="C80" s="1"/>
      <c r="D80" s="1"/>
      <c r="F80" t="s">
        <v>182</v>
      </c>
      <c r="G80" s="1">
        <v>56</v>
      </c>
      <c r="H80" t="s">
        <v>191</v>
      </c>
      <c r="I80" t="s">
        <v>192</v>
      </c>
    </row>
    <row r="81" spans="3:14" x14ac:dyDescent="0.3">
      <c r="C81" s="1"/>
      <c r="D81" s="1"/>
      <c r="E81" s="1"/>
      <c r="F81" t="s">
        <v>183</v>
      </c>
      <c r="G81" s="1">
        <v>56</v>
      </c>
      <c r="H81" t="s">
        <v>189</v>
      </c>
      <c r="I81" t="s">
        <v>190</v>
      </c>
    </row>
    <row r="82" spans="3:14" x14ac:dyDescent="0.3">
      <c r="C82" s="1"/>
      <c r="D82" s="1"/>
      <c r="E82" s="1"/>
      <c r="G82" s="10"/>
      <c r="H82" t="s">
        <v>348</v>
      </c>
      <c r="I82" t="s">
        <v>350</v>
      </c>
    </row>
    <row r="83" spans="3:14" x14ac:dyDescent="0.3">
      <c r="C83" s="1"/>
      <c r="D83" s="1"/>
      <c r="E83" s="1"/>
      <c r="G83" s="1"/>
    </row>
    <row r="84" spans="3:14" x14ac:dyDescent="0.3">
      <c r="C84" s="1" t="s">
        <v>193</v>
      </c>
      <c r="D84" s="1">
        <v>166</v>
      </c>
      <c r="E84" s="1" t="s">
        <v>193</v>
      </c>
      <c r="F84" t="s">
        <v>194</v>
      </c>
      <c r="G84" s="1">
        <v>50</v>
      </c>
      <c r="H84" t="s">
        <v>201</v>
      </c>
      <c r="I84" t="s">
        <v>202</v>
      </c>
    </row>
    <row r="85" spans="3:14" x14ac:dyDescent="0.3">
      <c r="C85" s="1"/>
      <c r="D85" s="1"/>
      <c r="E85" s="1" t="s">
        <v>220</v>
      </c>
      <c r="F85" t="s">
        <v>195</v>
      </c>
      <c r="G85" s="1">
        <v>80</v>
      </c>
      <c r="H85" t="s">
        <v>203</v>
      </c>
      <c r="I85" t="s">
        <v>204</v>
      </c>
      <c r="N85" t="s">
        <v>205</v>
      </c>
    </row>
    <row r="86" spans="3:14" x14ac:dyDescent="0.3">
      <c r="C86" s="1"/>
      <c r="D86" s="1"/>
      <c r="E86" s="1"/>
      <c r="F86" t="s">
        <v>196</v>
      </c>
      <c r="G86" s="1">
        <v>80</v>
      </c>
    </row>
    <row r="87" spans="3:14" x14ac:dyDescent="0.3">
      <c r="C87" s="1"/>
      <c r="D87" s="1"/>
      <c r="E87" s="1"/>
      <c r="F87" t="s">
        <v>197</v>
      </c>
      <c r="G87" s="1">
        <v>80</v>
      </c>
    </row>
    <row r="88" spans="3:14" x14ac:dyDescent="0.3">
      <c r="C88" s="1"/>
      <c r="D88" s="1"/>
      <c r="E88" s="1"/>
      <c r="F88" t="s">
        <v>198</v>
      </c>
      <c r="G88" s="1">
        <v>92</v>
      </c>
      <c r="H88" t="s">
        <v>206</v>
      </c>
      <c r="I88" t="s">
        <v>207</v>
      </c>
      <c r="N88" t="s">
        <v>208</v>
      </c>
    </row>
    <row r="89" spans="3:14" x14ac:dyDescent="0.3">
      <c r="C89" s="1"/>
      <c r="D89" s="1"/>
      <c r="E89" s="1"/>
      <c r="F89" t="s">
        <v>199</v>
      </c>
      <c r="G89" s="1">
        <v>0</v>
      </c>
    </row>
    <row r="90" spans="3:14" x14ac:dyDescent="0.3">
      <c r="C90" s="1"/>
      <c r="D90" s="1"/>
      <c r="E90" s="1"/>
      <c r="F90" t="s">
        <v>200</v>
      </c>
      <c r="G90" s="1">
        <v>17</v>
      </c>
      <c r="H90" t="s">
        <v>209</v>
      </c>
      <c r="I90" t="s">
        <v>210</v>
      </c>
    </row>
    <row r="91" spans="3:14" x14ac:dyDescent="0.3">
      <c r="C91" s="1"/>
      <c r="D91" s="1"/>
      <c r="E91" s="1"/>
      <c r="G91" s="10"/>
      <c r="H91" t="s">
        <v>354</v>
      </c>
      <c r="I91" t="s">
        <v>355</v>
      </c>
    </row>
    <row r="92" spans="3:14" x14ac:dyDescent="0.3">
      <c r="C92" s="1"/>
      <c r="D92" s="1"/>
      <c r="E92" s="1"/>
      <c r="G92" s="10"/>
      <c r="H92" t="s">
        <v>356</v>
      </c>
      <c r="I92" t="s">
        <v>357</v>
      </c>
    </row>
    <row r="93" spans="3:14" x14ac:dyDescent="0.3">
      <c r="C93" s="1"/>
      <c r="D93" s="1"/>
      <c r="E93" s="1"/>
    </row>
    <row r="94" spans="3:14" x14ac:dyDescent="0.3">
      <c r="C94" s="1" t="s">
        <v>211</v>
      </c>
      <c r="D94" s="1">
        <v>176</v>
      </c>
      <c r="E94" s="1" t="s">
        <v>211</v>
      </c>
      <c r="F94" t="s">
        <v>212</v>
      </c>
      <c r="G94" s="1">
        <v>50</v>
      </c>
      <c r="H94" t="s">
        <v>201</v>
      </c>
      <c r="I94" t="s">
        <v>222</v>
      </c>
    </row>
    <row r="95" spans="3:14" x14ac:dyDescent="0.3">
      <c r="C95" s="1"/>
      <c r="D95" s="1"/>
      <c r="E95" s="1" t="s">
        <v>228</v>
      </c>
      <c r="F95" t="s">
        <v>213</v>
      </c>
      <c r="G95" s="1">
        <v>80</v>
      </c>
      <c r="H95" t="s">
        <v>224</v>
      </c>
      <c r="I95" t="s">
        <v>225</v>
      </c>
      <c r="N95" t="s">
        <v>205</v>
      </c>
    </row>
    <row r="96" spans="3:14" x14ac:dyDescent="0.3">
      <c r="C96" s="1"/>
      <c r="D96" s="1"/>
      <c r="E96" s="1"/>
      <c r="F96" t="s">
        <v>214</v>
      </c>
      <c r="G96" s="1">
        <v>80</v>
      </c>
    </row>
    <row r="97" spans="3:16" x14ac:dyDescent="0.3">
      <c r="C97" s="1"/>
      <c r="D97" s="1"/>
      <c r="F97" t="s">
        <v>215</v>
      </c>
      <c r="G97" s="1">
        <v>80</v>
      </c>
    </row>
    <row r="98" spans="3:16" x14ac:dyDescent="0.3">
      <c r="C98" s="1"/>
      <c r="D98" s="1"/>
      <c r="F98" t="s">
        <v>216</v>
      </c>
      <c r="G98" s="1">
        <v>92</v>
      </c>
      <c r="H98" t="s">
        <v>227</v>
      </c>
      <c r="I98" t="s">
        <v>226</v>
      </c>
      <c r="N98" t="s">
        <v>208</v>
      </c>
    </row>
    <row r="99" spans="3:16" x14ac:dyDescent="0.3">
      <c r="C99" s="1"/>
      <c r="D99" s="1"/>
      <c r="F99" t="s">
        <v>217</v>
      </c>
      <c r="G99" s="1">
        <v>0</v>
      </c>
    </row>
    <row r="100" spans="3:16" x14ac:dyDescent="0.3">
      <c r="C100" s="1"/>
      <c r="D100" s="1"/>
      <c r="F100" t="s">
        <v>218</v>
      </c>
      <c r="G100" s="1">
        <v>17</v>
      </c>
      <c r="H100" t="s">
        <v>219</v>
      </c>
      <c r="I100" t="s">
        <v>223</v>
      </c>
    </row>
    <row r="101" spans="3:16" x14ac:dyDescent="0.3">
      <c r="C101" s="1"/>
      <c r="D101" s="1"/>
    </row>
    <row r="102" spans="3:16" x14ac:dyDescent="0.3">
      <c r="C102" s="1" t="s">
        <v>229</v>
      </c>
      <c r="D102" s="1">
        <v>184</v>
      </c>
      <c r="E102" s="1" t="s">
        <v>229</v>
      </c>
      <c r="F102" t="s">
        <v>231</v>
      </c>
      <c r="G102" s="1">
        <v>360</v>
      </c>
      <c r="H102" t="s">
        <v>236</v>
      </c>
      <c r="I102" t="s">
        <v>237</v>
      </c>
    </row>
    <row r="103" spans="3:16" x14ac:dyDescent="0.3">
      <c r="C103" s="1"/>
      <c r="D103" s="1"/>
      <c r="E103" s="1" t="s">
        <v>259</v>
      </c>
      <c r="G103" s="10"/>
      <c r="H103" t="s">
        <v>253</v>
      </c>
      <c r="I103" t="s">
        <v>254</v>
      </c>
    </row>
    <row r="104" spans="3:16" x14ac:dyDescent="0.3">
      <c r="C104" s="1"/>
      <c r="D104" s="1"/>
      <c r="E104" s="1"/>
      <c r="F104" t="s">
        <v>230</v>
      </c>
      <c r="G104" s="1">
        <v>440</v>
      </c>
      <c r="H104" t="s">
        <v>238</v>
      </c>
      <c r="I104" t="s">
        <v>239</v>
      </c>
    </row>
    <row r="105" spans="3:16" x14ac:dyDescent="0.3">
      <c r="C105" s="1"/>
      <c r="D105" s="1"/>
      <c r="E105" s="1"/>
      <c r="G105" s="10"/>
      <c r="H105" t="s">
        <v>255</v>
      </c>
      <c r="I105" t="s">
        <v>256</v>
      </c>
    </row>
    <row r="106" spans="3:16" x14ac:dyDescent="0.3">
      <c r="C106" s="1"/>
      <c r="D106" s="1"/>
      <c r="E106" s="1"/>
      <c r="F106" t="s">
        <v>232</v>
      </c>
      <c r="G106" s="1">
        <v>440</v>
      </c>
      <c r="I106" t="s">
        <v>241</v>
      </c>
    </row>
    <row r="107" spans="3:16" x14ac:dyDescent="0.3">
      <c r="C107" s="1"/>
      <c r="D107" s="1"/>
      <c r="E107" s="1"/>
      <c r="F107" t="s">
        <v>233</v>
      </c>
      <c r="G107" s="1">
        <v>440</v>
      </c>
      <c r="I107" t="s">
        <v>241</v>
      </c>
    </row>
    <row r="108" spans="3:16" x14ac:dyDescent="0.3">
      <c r="C108" s="1"/>
      <c r="D108" s="1"/>
      <c r="E108" s="1"/>
      <c r="F108" t="s">
        <v>234</v>
      </c>
      <c r="G108" s="1">
        <v>20</v>
      </c>
      <c r="H108" s="2" t="s">
        <v>243</v>
      </c>
      <c r="I108" t="s">
        <v>244</v>
      </c>
    </row>
    <row r="109" spans="3:16" x14ac:dyDescent="0.3">
      <c r="C109" s="1"/>
      <c r="D109" s="1"/>
      <c r="F109" t="s">
        <v>235</v>
      </c>
      <c r="G109" s="1">
        <v>80</v>
      </c>
      <c r="H109" s="2" t="s">
        <v>257</v>
      </c>
      <c r="I109" t="s">
        <v>258</v>
      </c>
    </row>
    <row r="110" spans="3:16" x14ac:dyDescent="0.3">
      <c r="C110" s="1"/>
      <c r="D110" s="1"/>
    </row>
    <row r="111" spans="3:16" x14ac:dyDescent="0.3">
      <c r="C111" s="1" t="s">
        <v>245</v>
      </c>
      <c r="D111" s="1">
        <v>190</v>
      </c>
      <c r="E111" s="1" t="s">
        <v>245</v>
      </c>
      <c r="F111" t="s">
        <v>246</v>
      </c>
      <c r="G111" s="1">
        <v>3000</v>
      </c>
      <c r="H111" t="s">
        <v>265</v>
      </c>
      <c r="I111" s="3" t="s">
        <v>266</v>
      </c>
      <c r="J111" s="3"/>
      <c r="K111" s="3"/>
      <c r="L111" s="3"/>
      <c r="M111" s="3"/>
      <c r="N111" s="3"/>
      <c r="O111" s="3"/>
      <c r="P111" s="3"/>
    </row>
    <row r="112" spans="3:16" x14ac:dyDescent="0.3">
      <c r="C112" s="1"/>
      <c r="D112" s="1"/>
      <c r="E112" s="1" t="s">
        <v>260</v>
      </c>
      <c r="F112" t="s">
        <v>247</v>
      </c>
      <c r="G112" s="1">
        <v>2000</v>
      </c>
      <c r="H112" t="s">
        <v>261</v>
      </c>
      <c r="I112" s="3" t="s">
        <v>262</v>
      </c>
      <c r="J112" s="3"/>
      <c r="K112" s="3"/>
      <c r="L112" s="3"/>
      <c r="M112" s="3"/>
      <c r="N112" s="3"/>
      <c r="O112" s="3"/>
      <c r="P112" s="3"/>
    </row>
    <row r="113" spans="3:18" x14ac:dyDescent="0.3">
      <c r="C113" s="1"/>
      <c r="D113" s="1"/>
      <c r="E113" s="1"/>
      <c r="F113" t="s">
        <v>248</v>
      </c>
      <c r="G113" s="1">
        <v>2000</v>
      </c>
      <c r="I113" s="3"/>
      <c r="J113" s="3"/>
      <c r="K113" s="3"/>
      <c r="L113" s="3"/>
      <c r="M113" s="3"/>
      <c r="N113" s="3"/>
      <c r="O113" s="3"/>
      <c r="P113" s="3"/>
    </row>
    <row r="114" spans="3:18" x14ac:dyDescent="0.3">
      <c r="C114" s="1"/>
      <c r="D114" s="1"/>
      <c r="E114" s="1"/>
      <c r="F114" t="s">
        <v>249</v>
      </c>
      <c r="G114" s="1">
        <v>2000</v>
      </c>
      <c r="I114" s="3"/>
      <c r="J114" s="3"/>
      <c r="K114" s="3"/>
      <c r="L114" s="3"/>
      <c r="M114" s="3"/>
      <c r="N114" s="3"/>
      <c r="O114" s="3"/>
      <c r="P114" s="3"/>
    </row>
    <row r="115" spans="3:18" x14ac:dyDescent="0.3">
      <c r="C115" s="1"/>
      <c r="D115" s="1"/>
      <c r="E115" s="1"/>
      <c r="F115" t="s">
        <v>250</v>
      </c>
      <c r="G115" s="1">
        <v>2000</v>
      </c>
      <c r="I115" s="3"/>
      <c r="J115" s="3"/>
      <c r="K115" s="3"/>
      <c r="L115" s="3"/>
      <c r="M115" s="3"/>
      <c r="N115" s="3"/>
      <c r="O115" s="3"/>
      <c r="P115" s="3"/>
    </row>
    <row r="116" spans="3:18" x14ac:dyDescent="0.3">
      <c r="C116" s="1"/>
      <c r="D116" s="1"/>
      <c r="E116" s="1"/>
      <c r="F116" t="s">
        <v>251</v>
      </c>
      <c r="G116" s="1">
        <v>1000</v>
      </c>
      <c r="H116" t="s">
        <v>263</v>
      </c>
      <c r="I116" s="3" t="s">
        <v>264</v>
      </c>
      <c r="J116" s="3"/>
      <c r="K116" s="3"/>
      <c r="L116" s="3"/>
      <c r="M116" s="3"/>
      <c r="N116" s="3"/>
      <c r="O116" s="3"/>
      <c r="P116" s="3"/>
    </row>
    <row r="117" spans="3:18" x14ac:dyDescent="0.3">
      <c r="C117" s="1"/>
      <c r="D117" s="1"/>
      <c r="E117" s="1"/>
      <c r="F117" t="s">
        <v>252</v>
      </c>
      <c r="G117" s="1">
        <v>1000</v>
      </c>
      <c r="I117" s="3"/>
      <c r="J117" s="3"/>
      <c r="K117" s="3"/>
      <c r="L117" s="3"/>
      <c r="M117" s="3"/>
      <c r="N117" s="3"/>
      <c r="O117" s="3"/>
      <c r="P117" s="3"/>
    </row>
    <row r="118" spans="3:18" x14ac:dyDescent="0.3">
      <c r="C118" s="1"/>
      <c r="D118" s="1"/>
      <c r="E118" s="1"/>
      <c r="G118" s="1"/>
      <c r="I118" s="3"/>
      <c r="J118" s="3"/>
      <c r="K118" s="3"/>
      <c r="L118" s="3"/>
      <c r="M118" s="3"/>
      <c r="N118" s="3"/>
      <c r="O118" s="3"/>
      <c r="P118" s="3"/>
    </row>
    <row r="119" spans="3:18" x14ac:dyDescent="0.3">
      <c r="C119" s="1"/>
      <c r="D119" s="1">
        <v>172</v>
      </c>
      <c r="E119" s="1" t="s">
        <v>273</v>
      </c>
      <c r="F119" t="s">
        <v>274</v>
      </c>
      <c r="G119" s="1">
        <v>50</v>
      </c>
      <c r="H119" t="s">
        <v>280</v>
      </c>
      <c r="I119" s="3" t="s">
        <v>281</v>
      </c>
      <c r="J119" s="3"/>
      <c r="K119" s="3"/>
      <c r="L119" s="3"/>
      <c r="M119" s="3"/>
      <c r="N119" s="3"/>
      <c r="O119" s="3"/>
      <c r="P119" s="3"/>
    </row>
    <row r="120" spans="3:18" x14ac:dyDescent="0.3">
      <c r="C120" s="1"/>
      <c r="D120" s="1"/>
      <c r="E120" s="1" t="s">
        <v>287</v>
      </c>
      <c r="F120" t="s">
        <v>275</v>
      </c>
      <c r="G120" s="1">
        <v>50</v>
      </c>
      <c r="H120" t="s">
        <v>284</v>
      </c>
      <c r="I120" s="3" t="s">
        <v>285</v>
      </c>
      <c r="J120" s="3"/>
      <c r="K120" s="3"/>
      <c r="L120" s="3"/>
      <c r="M120" s="3"/>
      <c r="N120" s="3"/>
      <c r="O120" s="3"/>
      <c r="P120" s="3"/>
    </row>
    <row r="121" spans="3:18" x14ac:dyDescent="0.3">
      <c r="C121" s="1"/>
      <c r="D121" s="1"/>
      <c r="G121" s="1"/>
    </row>
    <row r="122" spans="3:18" x14ac:dyDescent="0.3">
      <c r="C122" s="1"/>
      <c r="D122" s="1"/>
      <c r="F122" t="s">
        <v>276</v>
      </c>
      <c r="G122" s="1">
        <v>65</v>
      </c>
      <c r="H122" t="s">
        <v>292</v>
      </c>
      <c r="I122" t="s">
        <v>424</v>
      </c>
    </row>
    <row r="123" spans="3:18" x14ac:dyDescent="0.3">
      <c r="C123" s="1"/>
      <c r="D123" s="1"/>
      <c r="F123" t="s">
        <v>441</v>
      </c>
      <c r="G123" s="1">
        <v>66</v>
      </c>
      <c r="H123" t="s">
        <v>442</v>
      </c>
      <c r="I123" s="3" t="s">
        <v>443</v>
      </c>
    </row>
    <row r="124" spans="3:18" x14ac:dyDescent="0.3">
      <c r="C124" s="1"/>
      <c r="D124" s="1"/>
      <c r="F124" t="s">
        <v>277</v>
      </c>
      <c r="G124" s="1">
        <v>82</v>
      </c>
      <c r="H124" t="s">
        <v>293</v>
      </c>
      <c r="I124" t="s">
        <v>413</v>
      </c>
      <c r="Q124" t="s">
        <v>429</v>
      </c>
    </row>
    <row r="125" spans="3:18" x14ac:dyDescent="0.3">
      <c r="C125" s="1"/>
      <c r="D125" s="1"/>
      <c r="F125" t="s">
        <v>431</v>
      </c>
      <c r="G125" s="1">
        <v>74</v>
      </c>
    </row>
    <row r="126" spans="3:18" x14ac:dyDescent="0.3">
      <c r="C126" s="1"/>
      <c r="D126" s="1"/>
      <c r="F126" t="s">
        <v>432</v>
      </c>
      <c r="G126" s="1">
        <v>140</v>
      </c>
      <c r="H126" t="s">
        <v>294</v>
      </c>
      <c r="I126" t="s">
        <v>412</v>
      </c>
    </row>
    <row r="127" spans="3:18" x14ac:dyDescent="0.3">
      <c r="C127" s="1"/>
      <c r="D127" s="1"/>
      <c r="H127" t="s">
        <v>295</v>
      </c>
      <c r="I127" t="s">
        <v>411</v>
      </c>
    </row>
    <row r="128" spans="3:18" x14ac:dyDescent="0.3">
      <c r="C128" s="1"/>
      <c r="D128" s="1"/>
      <c r="E128" s="1"/>
      <c r="H128" t="s">
        <v>296</v>
      </c>
      <c r="I128" t="s">
        <v>410</v>
      </c>
      <c r="R128" t="s">
        <v>430</v>
      </c>
    </row>
    <row r="129" spans="3:9" x14ac:dyDescent="0.3">
      <c r="C129" s="1"/>
      <c r="D129" s="1"/>
      <c r="E129" s="1"/>
    </row>
    <row r="130" spans="3:9" x14ac:dyDescent="0.3">
      <c r="C130" s="1"/>
      <c r="D130" s="1"/>
      <c r="H130" t="s">
        <v>291</v>
      </c>
      <c r="I130" t="s">
        <v>164</v>
      </c>
    </row>
    <row r="131" spans="3:9" x14ac:dyDescent="0.3">
      <c r="C131" s="1"/>
      <c r="D131" s="1"/>
      <c r="H131" t="s">
        <v>290</v>
      </c>
      <c r="I131" t="s">
        <v>166</v>
      </c>
    </row>
    <row r="132" spans="3:9" x14ac:dyDescent="0.3">
      <c r="C132" s="1"/>
      <c r="D132" s="1"/>
      <c r="H132" t="s">
        <v>289</v>
      </c>
      <c r="I132" t="s">
        <v>161</v>
      </c>
    </row>
    <row r="133" spans="3:9" x14ac:dyDescent="0.3">
      <c r="C133" s="1"/>
      <c r="D133" s="1"/>
      <c r="G133" s="1"/>
      <c r="H133" t="s">
        <v>286</v>
      </c>
      <c r="I133" t="s">
        <v>162</v>
      </c>
    </row>
    <row r="134" spans="3:9" x14ac:dyDescent="0.3">
      <c r="C134" s="1"/>
      <c r="D134" s="1"/>
      <c r="G134" s="1"/>
    </row>
    <row r="135" spans="3:9" x14ac:dyDescent="0.3">
      <c r="C135" s="1"/>
      <c r="D135" s="1"/>
      <c r="G135" s="1"/>
      <c r="H135" t="s">
        <v>425</v>
      </c>
      <c r="I135" t="s">
        <v>426</v>
      </c>
    </row>
    <row r="136" spans="3:9" x14ac:dyDescent="0.3">
      <c r="C136" s="1"/>
      <c r="D136" s="1"/>
      <c r="G136" s="1"/>
      <c r="H136" t="s">
        <v>427</v>
      </c>
      <c r="I136" t="s">
        <v>428</v>
      </c>
    </row>
    <row r="137" spans="3:9" x14ac:dyDescent="0.3">
      <c r="C137" s="1"/>
      <c r="D137" s="1"/>
      <c r="F137" t="s">
        <v>444</v>
      </c>
      <c r="G137" s="1">
        <v>165</v>
      </c>
      <c r="H137" t="s">
        <v>445</v>
      </c>
      <c r="I137" t="s">
        <v>446</v>
      </c>
    </row>
    <row r="138" spans="3:9" x14ac:dyDescent="0.3">
      <c r="C138" s="1"/>
      <c r="D138" s="1"/>
      <c r="F138" t="s">
        <v>447</v>
      </c>
      <c r="G138" s="1">
        <v>173</v>
      </c>
      <c r="H138" t="s">
        <v>450</v>
      </c>
      <c r="I138" t="s">
        <v>452</v>
      </c>
    </row>
    <row r="139" spans="3:9" x14ac:dyDescent="0.3">
      <c r="C139" s="1"/>
      <c r="D139" s="1"/>
      <c r="F139" t="s">
        <v>448</v>
      </c>
      <c r="G139" s="1">
        <v>181</v>
      </c>
      <c r="H139" t="s">
        <v>451</v>
      </c>
      <c r="I139" t="s">
        <v>453</v>
      </c>
    </row>
    <row r="140" spans="3:9" x14ac:dyDescent="0.3">
      <c r="C140" s="1"/>
      <c r="D140" s="1"/>
      <c r="F140" t="s">
        <v>449</v>
      </c>
      <c r="G140" s="1">
        <v>210</v>
      </c>
      <c r="H140" t="s">
        <v>455</v>
      </c>
      <c r="I140" t="s">
        <v>454</v>
      </c>
    </row>
    <row r="141" spans="3:9" x14ac:dyDescent="0.3">
      <c r="C141" s="1"/>
      <c r="D141" s="1"/>
      <c r="F141" t="s">
        <v>458</v>
      </c>
      <c r="G141" s="1">
        <v>280</v>
      </c>
      <c r="H141" t="s">
        <v>459</v>
      </c>
      <c r="I141" t="s">
        <v>460</v>
      </c>
    </row>
    <row r="142" spans="3:9" x14ac:dyDescent="0.3">
      <c r="C142" s="1"/>
      <c r="D142" s="1"/>
      <c r="G142" s="1"/>
    </row>
    <row r="143" spans="3:9" x14ac:dyDescent="0.3">
      <c r="C143" s="1"/>
      <c r="D143" s="1"/>
      <c r="F143" t="s">
        <v>278</v>
      </c>
      <c r="G143" s="1">
        <v>60</v>
      </c>
      <c r="H143" s="2" t="s">
        <v>297</v>
      </c>
    </row>
    <row r="144" spans="3:9" x14ac:dyDescent="0.3">
      <c r="C144" s="1"/>
      <c r="D144" s="1"/>
    </row>
    <row r="145" spans="3:17" x14ac:dyDescent="0.3">
      <c r="C145" s="1"/>
      <c r="D145" s="1"/>
      <c r="F145" t="s">
        <v>146</v>
      </c>
      <c r="G145" s="1">
        <v>0</v>
      </c>
      <c r="H145" t="s">
        <v>298</v>
      </c>
      <c r="I145" t="s">
        <v>299</v>
      </c>
    </row>
    <row r="146" spans="3:17" x14ac:dyDescent="0.3">
      <c r="C146" s="1"/>
      <c r="D146" s="1"/>
      <c r="F146" t="s">
        <v>145</v>
      </c>
      <c r="G146" s="1">
        <v>17</v>
      </c>
      <c r="H146" t="s">
        <v>219</v>
      </c>
      <c r="I146" t="s">
        <v>300</v>
      </c>
    </row>
    <row r="147" spans="3:17" x14ac:dyDescent="0.3">
      <c r="C147" s="1"/>
      <c r="D147" s="1"/>
      <c r="E147" s="1"/>
      <c r="F147" t="s">
        <v>279</v>
      </c>
      <c r="G147" s="1">
        <v>11</v>
      </c>
      <c r="H147" t="s">
        <v>282</v>
      </c>
      <c r="I147" t="s">
        <v>283</v>
      </c>
    </row>
    <row r="148" spans="3:17" x14ac:dyDescent="0.3">
      <c r="C148" s="1"/>
      <c r="D148" s="1"/>
      <c r="E148" s="1"/>
      <c r="G148" s="1"/>
    </row>
    <row r="149" spans="3:17" x14ac:dyDescent="0.3">
      <c r="C149" s="1"/>
      <c r="D149" s="1">
        <v>180</v>
      </c>
      <c r="E149" s="1" t="s">
        <v>267</v>
      </c>
      <c r="F149" t="s">
        <v>301</v>
      </c>
    </row>
    <row r="150" spans="3:17" x14ac:dyDescent="0.3">
      <c r="C150" s="1"/>
      <c r="D150" s="1"/>
      <c r="E150" s="1"/>
      <c r="G150" s="1"/>
      <c r="I150" s="3"/>
    </row>
    <row r="151" spans="3:17" x14ac:dyDescent="0.3">
      <c r="D151" s="1">
        <v>188</v>
      </c>
      <c r="E151" s="1" t="s">
        <v>302</v>
      </c>
      <c r="F151" t="s">
        <v>304</v>
      </c>
      <c r="G151" s="1">
        <v>400</v>
      </c>
      <c r="H151" t="s">
        <v>312</v>
      </c>
      <c r="I151" s="3" t="s">
        <v>314</v>
      </c>
      <c r="J151" s="3"/>
      <c r="K151" s="3"/>
      <c r="L151" s="3"/>
      <c r="M151" s="3"/>
      <c r="N151" s="3"/>
      <c r="O151" s="3"/>
      <c r="P151" s="3"/>
      <c r="Q151" s="3"/>
    </row>
    <row r="152" spans="3:17" x14ac:dyDescent="0.3">
      <c r="C152" s="1"/>
      <c r="D152" s="1"/>
      <c r="E152" s="1" t="s">
        <v>303</v>
      </c>
      <c r="F152" t="s">
        <v>305</v>
      </c>
      <c r="G152" s="1">
        <v>12000</v>
      </c>
      <c r="H152" t="s">
        <v>318</v>
      </c>
      <c r="I152" s="3" t="s">
        <v>319</v>
      </c>
      <c r="J152" s="3"/>
      <c r="K152" s="3"/>
      <c r="L152" s="3"/>
      <c r="M152" s="3"/>
      <c r="N152" s="3"/>
      <c r="O152" s="3"/>
      <c r="P152" s="3"/>
      <c r="Q152" s="3"/>
    </row>
    <row r="153" spans="3:17" x14ac:dyDescent="0.3">
      <c r="C153" s="1"/>
      <c r="D153" s="1"/>
      <c r="F153" t="s">
        <v>306</v>
      </c>
      <c r="G153" s="1">
        <v>400</v>
      </c>
      <c r="H153" t="s">
        <v>316</v>
      </c>
      <c r="I153" s="3" t="s">
        <v>317</v>
      </c>
      <c r="J153" s="3"/>
      <c r="K153" s="3"/>
      <c r="L153" s="3"/>
      <c r="M153" s="3"/>
      <c r="N153" s="3"/>
      <c r="O153" s="3"/>
      <c r="P153" s="3"/>
      <c r="Q153" s="3"/>
    </row>
    <row r="154" spans="3:17" x14ac:dyDescent="0.3">
      <c r="C154" s="1"/>
      <c r="D154" s="1"/>
      <c r="G154" s="1"/>
      <c r="H154" t="s">
        <v>241</v>
      </c>
      <c r="I154" s="3" t="s">
        <v>434</v>
      </c>
      <c r="J154" s="3"/>
      <c r="K154" s="3"/>
      <c r="L154" s="3"/>
      <c r="M154" s="3"/>
      <c r="N154" s="3"/>
      <c r="O154" s="3"/>
      <c r="P154" s="3"/>
      <c r="Q154" s="3"/>
    </row>
    <row r="155" spans="3:17" x14ac:dyDescent="0.3">
      <c r="C155" s="1"/>
      <c r="D155" s="1"/>
      <c r="H155" t="s">
        <v>241</v>
      </c>
      <c r="I155" s="3" t="s">
        <v>433</v>
      </c>
      <c r="J155" s="3"/>
      <c r="K155" s="3"/>
      <c r="L155" s="3"/>
      <c r="M155" s="3"/>
      <c r="N155" s="3"/>
      <c r="O155" s="3"/>
      <c r="P155" s="3"/>
      <c r="Q155" s="3"/>
    </row>
    <row r="156" spans="3:17" x14ac:dyDescent="0.3">
      <c r="C156" s="1"/>
      <c r="D156" s="1"/>
      <c r="F156" t="s">
        <v>307</v>
      </c>
      <c r="G156" s="1">
        <v>800</v>
      </c>
      <c r="H156" t="s">
        <v>439</v>
      </c>
      <c r="I156" s="3" t="s">
        <v>440</v>
      </c>
      <c r="K156" s="3"/>
      <c r="L156" s="3"/>
      <c r="M156" s="3"/>
      <c r="N156" s="3"/>
      <c r="O156" s="3"/>
      <c r="P156" s="3"/>
      <c r="Q156" s="3"/>
    </row>
    <row r="157" spans="3:17" x14ac:dyDescent="0.3">
      <c r="C157" s="1"/>
      <c r="D157" s="1"/>
      <c r="G157" s="1"/>
      <c r="H157" t="s">
        <v>437</v>
      </c>
      <c r="I157" s="3" t="s">
        <v>438</v>
      </c>
      <c r="J157" s="3"/>
      <c r="K157" s="3"/>
      <c r="L157" s="3"/>
      <c r="M157" s="3"/>
      <c r="N157" s="3"/>
      <c r="O157" s="3"/>
      <c r="P157" s="3"/>
      <c r="Q157" s="3"/>
    </row>
    <row r="158" spans="3:17" x14ac:dyDescent="0.3">
      <c r="C158" s="1"/>
      <c r="D158" s="1"/>
      <c r="F158" t="s">
        <v>308</v>
      </c>
      <c r="G158" s="1">
        <v>1600</v>
      </c>
      <c r="H158" t="s">
        <v>436</v>
      </c>
      <c r="I158" s="3" t="s">
        <v>435</v>
      </c>
      <c r="J158" s="3"/>
      <c r="K158" s="3"/>
      <c r="L158" s="3"/>
      <c r="M158" s="3"/>
      <c r="N158" s="3"/>
      <c r="O158" s="3"/>
      <c r="P158" s="3"/>
      <c r="Q158" s="3"/>
    </row>
    <row r="159" spans="3:17" x14ac:dyDescent="0.3">
      <c r="C159" s="1"/>
      <c r="D159" s="1"/>
      <c r="G159" s="1"/>
      <c r="I159" s="3"/>
      <c r="J159" s="3"/>
      <c r="K159" s="3"/>
      <c r="L159" s="3"/>
      <c r="M159" s="3"/>
      <c r="N159" s="3"/>
      <c r="O159" s="3"/>
      <c r="P159" s="3"/>
      <c r="Q159" s="3"/>
    </row>
    <row r="160" spans="3:17" x14ac:dyDescent="0.3">
      <c r="C160" s="1"/>
      <c r="D160" s="1"/>
      <c r="F160" t="s">
        <v>309</v>
      </c>
      <c r="G160" s="1">
        <v>20</v>
      </c>
      <c r="H160" s="2" t="s">
        <v>243</v>
      </c>
      <c r="I160" t="s">
        <v>244</v>
      </c>
      <c r="J160" s="3"/>
      <c r="K160" s="3"/>
      <c r="L160" s="3"/>
      <c r="M160" s="3"/>
      <c r="N160" s="3"/>
      <c r="O160" s="3"/>
      <c r="P160" s="3"/>
      <c r="Q160" s="3"/>
    </row>
    <row r="161" spans="3:17" x14ac:dyDescent="0.3">
      <c r="C161" s="1"/>
      <c r="D161" s="1"/>
      <c r="F161" t="s">
        <v>310</v>
      </c>
      <c r="G161" s="1">
        <v>80</v>
      </c>
      <c r="H161" s="2" t="s">
        <v>257</v>
      </c>
      <c r="I161" t="s">
        <v>258</v>
      </c>
      <c r="J161" s="3"/>
      <c r="K161" s="3"/>
      <c r="L161" s="3"/>
      <c r="M161" s="3"/>
      <c r="N161" s="3"/>
      <c r="O161" s="3"/>
      <c r="P161" s="3"/>
      <c r="Q161" s="3"/>
    </row>
    <row r="162" spans="3:17" x14ac:dyDescent="0.3">
      <c r="C162" s="1"/>
      <c r="D162" s="1"/>
      <c r="F162" t="s">
        <v>311</v>
      </c>
      <c r="G162" s="1">
        <v>480</v>
      </c>
      <c r="H162" t="s">
        <v>313</v>
      </c>
      <c r="I162" s="3" t="s">
        <v>315</v>
      </c>
      <c r="J162" s="3"/>
      <c r="K162" s="3"/>
      <c r="L162" s="3"/>
      <c r="M162" s="3"/>
      <c r="N162" s="3"/>
      <c r="O162" s="3"/>
      <c r="P162" s="3"/>
      <c r="Q162" s="3"/>
    </row>
    <row r="163" spans="3:17" x14ac:dyDescent="0.3">
      <c r="C163" s="1"/>
      <c r="D163" s="1"/>
      <c r="E163" s="1"/>
      <c r="G163" s="1"/>
      <c r="I163" s="3"/>
      <c r="J163" s="3"/>
      <c r="K163" s="3"/>
      <c r="L163" s="3"/>
      <c r="M163" s="3"/>
      <c r="N163" s="3"/>
      <c r="O163" s="3"/>
      <c r="P163" s="3"/>
      <c r="Q163" s="3"/>
    </row>
    <row r="164" spans="3:17" x14ac:dyDescent="0.3">
      <c r="C164" s="1"/>
      <c r="D164" s="1"/>
      <c r="E164" s="1"/>
      <c r="G164" s="1"/>
      <c r="I164" s="3"/>
      <c r="J164" s="3"/>
      <c r="K164" s="3"/>
      <c r="L164" s="3"/>
      <c r="M164" s="3"/>
      <c r="N164" s="3"/>
      <c r="O164" s="3"/>
      <c r="P164" s="3"/>
      <c r="Q164" s="3"/>
    </row>
    <row r="165" spans="3:17" x14ac:dyDescent="0.3">
      <c r="C165" s="1"/>
      <c r="D165" s="1">
        <v>194</v>
      </c>
      <c r="E165" s="1" t="s">
        <v>320</v>
      </c>
      <c r="F165" t="s">
        <v>321</v>
      </c>
      <c r="G165" s="1">
        <v>4000</v>
      </c>
      <c r="H165" t="s">
        <v>329</v>
      </c>
      <c r="I165" s="3" t="s">
        <v>330</v>
      </c>
      <c r="J165" s="3"/>
      <c r="K165" s="3"/>
      <c r="L165" s="3"/>
      <c r="M165" s="3"/>
      <c r="N165" s="3"/>
      <c r="O165" s="3"/>
      <c r="P165" s="3"/>
      <c r="Q165" s="3"/>
    </row>
    <row r="166" spans="3:17" x14ac:dyDescent="0.3">
      <c r="C166" s="1"/>
      <c r="D166" s="1"/>
      <c r="E166" s="1"/>
      <c r="F166" t="s">
        <v>322</v>
      </c>
      <c r="G166" s="1">
        <v>12000</v>
      </c>
      <c r="I166" s="3"/>
      <c r="J166" s="3"/>
      <c r="K166" s="3"/>
      <c r="L166" s="3"/>
      <c r="M166" s="3"/>
      <c r="N166" s="3"/>
      <c r="O166" s="3"/>
      <c r="P166" s="3"/>
      <c r="Q166" s="3"/>
    </row>
    <row r="167" spans="3:17" x14ac:dyDescent="0.3">
      <c r="C167" s="1"/>
      <c r="D167" s="1"/>
      <c r="E167" s="1"/>
      <c r="F167" t="s">
        <v>323</v>
      </c>
      <c r="G167" s="1">
        <v>2000</v>
      </c>
      <c r="H167" t="s">
        <v>331</v>
      </c>
      <c r="I167" s="3" t="s">
        <v>332</v>
      </c>
      <c r="J167" s="3"/>
      <c r="K167" s="3"/>
      <c r="L167" s="3"/>
      <c r="M167" s="3"/>
      <c r="N167" s="3"/>
      <c r="O167" s="3"/>
      <c r="P167" s="3"/>
      <c r="Q167" s="3"/>
    </row>
    <row r="168" spans="3:17" x14ac:dyDescent="0.3">
      <c r="C168" s="1"/>
      <c r="D168" s="1"/>
      <c r="E168" s="1"/>
      <c r="F168" t="s">
        <v>324</v>
      </c>
      <c r="G168" s="1">
        <v>2000</v>
      </c>
      <c r="H168" t="s">
        <v>241</v>
      </c>
      <c r="I168" s="3"/>
      <c r="J168" s="3"/>
      <c r="K168" s="3"/>
      <c r="L168" s="3"/>
      <c r="M168" s="3"/>
      <c r="N168" s="3"/>
      <c r="O168" s="3"/>
      <c r="P168" s="3"/>
      <c r="Q168" s="3"/>
    </row>
    <row r="169" spans="3:17" x14ac:dyDescent="0.3">
      <c r="C169" s="1"/>
      <c r="D169" s="1"/>
      <c r="E169" s="1"/>
      <c r="F169" t="s">
        <v>325</v>
      </c>
      <c r="G169" s="1">
        <v>2000</v>
      </c>
      <c r="H169" t="s">
        <v>241</v>
      </c>
      <c r="I169" s="3"/>
      <c r="J169" s="3"/>
      <c r="K169" s="3"/>
      <c r="L169" s="3"/>
      <c r="M169" s="3"/>
      <c r="N169" s="3"/>
      <c r="O169" s="3"/>
      <c r="P169" s="3"/>
      <c r="Q169" s="3"/>
    </row>
    <row r="170" spans="3:17" x14ac:dyDescent="0.3">
      <c r="C170" s="1"/>
      <c r="D170" s="1"/>
      <c r="E170" s="1"/>
      <c r="G170" s="1"/>
      <c r="I170" s="3"/>
      <c r="J170" s="3"/>
      <c r="K170" s="3"/>
      <c r="L170" s="3"/>
      <c r="M170" s="3"/>
      <c r="N170" s="3"/>
      <c r="O170" s="3"/>
      <c r="P170" s="3"/>
      <c r="Q170" s="3"/>
    </row>
    <row r="171" spans="3:17" x14ac:dyDescent="0.3">
      <c r="C171" s="1"/>
      <c r="D171" s="1"/>
      <c r="E171" s="1"/>
      <c r="F171" t="s">
        <v>326</v>
      </c>
      <c r="G171" s="1">
        <v>1000</v>
      </c>
      <c r="H171" t="s">
        <v>263</v>
      </c>
      <c r="I171" s="3" t="s">
        <v>264</v>
      </c>
      <c r="J171" s="3"/>
      <c r="K171" s="3"/>
      <c r="L171" s="3"/>
      <c r="M171" s="3"/>
      <c r="N171" s="3"/>
      <c r="O171" s="3"/>
      <c r="P171" s="3"/>
      <c r="Q171" s="3"/>
    </row>
    <row r="172" spans="3:17" x14ac:dyDescent="0.3">
      <c r="C172" s="1"/>
      <c r="D172" s="1"/>
      <c r="E172" s="1"/>
      <c r="F172" t="s">
        <v>327</v>
      </c>
      <c r="G172" s="1">
        <v>1000</v>
      </c>
      <c r="I172" s="3"/>
      <c r="J172" s="3"/>
      <c r="K172" s="3"/>
      <c r="L172" s="3"/>
      <c r="M172" s="3"/>
      <c r="N172" s="3"/>
      <c r="O172" s="3"/>
      <c r="P172" s="3"/>
      <c r="Q172" s="3"/>
    </row>
    <row r="173" spans="3:17" x14ac:dyDescent="0.3">
      <c r="C173" s="1"/>
      <c r="D173" s="1"/>
      <c r="E173" s="1"/>
      <c r="G173" s="1"/>
      <c r="I173" s="3"/>
      <c r="J173" s="3"/>
      <c r="K173" s="3"/>
      <c r="L173" s="3"/>
      <c r="M173" s="3"/>
      <c r="N173" s="3"/>
      <c r="O173" s="3"/>
      <c r="P173" s="3"/>
      <c r="Q173" s="3"/>
    </row>
    <row r="174" spans="3:17" x14ac:dyDescent="0.3">
      <c r="C174" s="1"/>
      <c r="D174" s="1"/>
      <c r="E174" s="1"/>
      <c r="F174" t="s">
        <v>328</v>
      </c>
      <c r="G174" s="1" t="s">
        <v>241</v>
      </c>
      <c r="H174" t="s">
        <v>241</v>
      </c>
      <c r="I174" s="3"/>
      <c r="J174" s="3"/>
      <c r="K174" s="3"/>
      <c r="L174" s="3"/>
      <c r="M174" s="3"/>
      <c r="N174" s="3"/>
      <c r="O174" s="3"/>
      <c r="P174" s="3"/>
      <c r="Q174" s="3"/>
    </row>
    <row r="175" spans="3:17" x14ac:dyDescent="0.3">
      <c r="C175" s="1"/>
      <c r="D175" s="1"/>
      <c r="E175" s="1"/>
      <c r="G175" s="1"/>
      <c r="I175" s="3"/>
      <c r="J175" s="3"/>
      <c r="K175" s="3"/>
      <c r="L175" s="3"/>
      <c r="M175" s="3"/>
      <c r="N175" s="3"/>
      <c r="O175" s="3"/>
      <c r="P175" s="3"/>
      <c r="Q175" s="3"/>
    </row>
    <row r="176" spans="3:17" x14ac:dyDescent="0.3">
      <c r="C176" s="1"/>
      <c r="D176" s="1"/>
      <c r="E176" s="1" t="s">
        <v>333</v>
      </c>
      <c r="F176" t="s">
        <v>334</v>
      </c>
      <c r="G176" s="1">
        <v>170</v>
      </c>
      <c r="H176" t="s">
        <v>335</v>
      </c>
      <c r="I176" t="s">
        <v>336</v>
      </c>
    </row>
    <row r="177" spans="3:9" x14ac:dyDescent="0.3">
      <c r="C177" s="1"/>
      <c r="D177" s="1"/>
      <c r="E177" s="1"/>
      <c r="F177" t="s">
        <v>340</v>
      </c>
      <c r="G177" s="1">
        <v>170</v>
      </c>
      <c r="H177" t="s">
        <v>341</v>
      </c>
      <c r="I177" t="s">
        <v>342</v>
      </c>
    </row>
    <row r="178" spans="3:9" x14ac:dyDescent="0.3">
      <c r="C178" s="1"/>
      <c r="D178" s="1"/>
      <c r="E178" s="1"/>
      <c r="F178" t="s">
        <v>337</v>
      </c>
      <c r="G178" s="1">
        <v>95</v>
      </c>
      <c r="H178" t="s">
        <v>338</v>
      </c>
      <c r="I178" t="s">
        <v>339</v>
      </c>
    </row>
    <row r="179" spans="3:9" x14ac:dyDescent="0.3">
      <c r="C179" s="1"/>
      <c r="D179" s="1"/>
      <c r="E179" s="1"/>
      <c r="F179" t="s">
        <v>456</v>
      </c>
      <c r="G179" s="1">
        <v>160000</v>
      </c>
      <c r="H179" t="s">
        <v>457</v>
      </c>
    </row>
    <row r="180" spans="3:9" x14ac:dyDescent="0.3">
      <c r="C180" s="9"/>
      <c r="D180" s="1"/>
      <c r="E180" s="1" t="s">
        <v>385</v>
      </c>
      <c r="F180" t="s">
        <v>386</v>
      </c>
      <c r="H180" t="s">
        <v>387</v>
      </c>
      <c r="I180" t="s">
        <v>388</v>
      </c>
    </row>
    <row r="181" spans="3:9" x14ac:dyDescent="0.3">
      <c r="C181" s="1"/>
      <c r="D181" s="1"/>
    </row>
    <row r="182" spans="3:9" x14ac:dyDescent="0.3">
      <c r="C182" s="1"/>
      <c r="D182" s="1"/>
      <c r="H182" t="s">
        <v>343</v>
      </c>
      <c r="I182" t="s">
        <v>344</v>
      </c>
    </row>
    <row r="183" spans="3:9" x14ac:dyDescent="0.3">
      <c r="C183" s="1"/>
      <c r="D183" s="1"/>
    </row>
    <row r="184" spans="3:9" x14ac:dyDescent="0.3">
      <c r="C184" s="1"/>
      <c r="D184" s="1"/>
    </row>
    <row r="185" spans="3:9" x14ac:dyDescent="0.3">
      <c r="C185" s="1"/>
      <c r="D185" s="1"/>
    </row>
    <row r="186" spans="3:9" x14ac:dyDescent="0.3">
      <c r="C186" s="1"/>
      <c r="D186" s="1"/>
    </row>
    <row r="187" spans="3:9" x14ac:dyDescent="0.3">
      <c r="C187" s="1"/>
      <c r="D187" s="1"/>
    </row>
    <row r="188" spans="3:9" x14ac:dyDescent="0.3">
      <c r="C188" s="1"/>
      <c r="D188" s="1"/>
    </row>
    <row r="189" spans="3:9" x14ac:dyDescent="0.3">
      <c r="C189" s="1"/>
      <c r="D189" s="1"/>
    </row>
    <row r="190" spans="3:9" x14ac:dyDescent="0.3">
      <c r="C190" s="1"/>
      <c r="D190" s="1"/>
    </row>
    <row r="191" spans="3:9" x14ac:dyDescent="0.3">
      <c r="C191" s="1"/>
      <c r="D191" s="1"/>
    </row>
    <row r="192" spans="3:9" x14ac:dyDescent="0.3">
      <c r="C192" s="1"/>
      <c r="D192" s="1"/>
    </row>
    <row r="193" spans="3:4" x14ac:dyDescent="0.3">
      <c r="C193" s="1"/>
      <c r="D193" s="1"/>
    </row>
    <row r="194" spans="3:4" x14ac:dyDescent="0.3">
      <c r="D194" s="1"/>
    </row>
    <row r="195" spans="3:4" x14ac:dyDescent="0.3">
      <c r="D195" s="1"/>
    </row>
    <row r="196" spans="3:4" x14ac:dyDescent="0.3">
      <c r="D196" s="1"/>
    </row>
    <row r="197" spans="3:4" x14ac:dyDescent="0.3">
      <c r="D197" s="1"/>
    </row>
    <row r="198" spans="3:4" x14ac:dyDescent="0.3">
      <c r="D198" s="1"/>
    </row>
    <row r="199" spans="3:4" x14ac:dyDescent="0.3">
      <c r="D199" s="1"/>
    </row>
    <row r="200" spans="3:4" x14ac:dyDescent="0.3">
      <c r="D200" s="1"/>
    </row>
    <row r="201" spans="3:4" x14ac:dyDescent="0.3">
      <c r="D201" s="1"/>
    </row>
    <row r="202" spans="3:4" x14ac:dyDescent="0.3">
      <c r="D202" s="1"/>
    </row>
    <row r="203" spans="3:4" x14ac:dyDescent="0.3">
      <c r="D203" s="1"/>
    </row>
    <row r="204" spans="3:4" x14ac:dyDescent="0.3">
      <c r="D204" s="1"/>
    </row>
    <row r="205" spans="3:4" x14ac:dyDescent="0.3">
      <c r="D20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Junung</cp:lastModifiedBy>
  <dcterms:created xsi:type="dcterms:W3CDTF">2021-03-03T02:09:46Z</dcterms:created>
  <dcterms:modified xsi:type="dcterms:W3CDTF">2021-06-24T09:01:25Z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C:\Users\Myungguk\Desktop\LayoutG_Tutorial_초심자용\Layer_mapping.xlsx</vt:lpwstr>
  </property>
</Properties>
</file>